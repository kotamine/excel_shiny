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workbookPr codeName="ThisWorkbook"/>
  <mc:AlternateContent xmlns:mc="http://schemas.openxmlformats.org/markup-compatibility/2006">
    <mc:Choice Requires="x15">
      <x15ac:absPath xmlns:x15ac="http://schemas.microsoft.com/office/spreadsheetml/2010/11/ac" url="/Users/kota/Documents/shiny/AutomaticCalfFeeder/"/>
    </mc:Choice>
  </mc:AlternateContent>
  <bookViews>
    <workbookView xWindow="0" yWindow="600" windowWidth="23820" windowHeight="15260" activeTab="1"/>
  </bookViews>
  <sheets>
    <sheet name="About" sheetId="2" r:id="rId1"/>
    <sheet name="Data Entry" sheetId="1" r:id="rId2"/>
    <sheet name="Charts" sheetId="3" r:id="rId3"/>
  </sheets>
  <externalReferences>
    <externalReference r:id="rId4"/>
  </externalReferences>
  <definedNames>
    <definedName name="cashflow">OFFSET('[1]Cash Flow Graph'!$J$46,0,0,1,1)</definedName>
    <definedName name="cashflow1">OFFSET('[1]Cash Flow Graph'!$N$38,0,0,[1]Main!$C$5,1)</definedName>
    <definedName name="cashflow2">OFFSET('[1]Cash Flow Graph'!$O$38,0,0,[1]Main!$C$5,1)</definedName>
    <definedName name="cashflow3">OFFSET([1]Main!$E$58,0,0,[1]Main!$C$5,1)</definedName>
    <definedName name="cashflow4">OFFSET([1]Main!$F$58,0,0,[1]Main!$C$5,1)</definedName>
    <definedName name="cashflow5">OFFSET([1]Main!$G$58,0,0,[1]Main!$C$5,1)</definedName>
    <definedName name="cashflow6">OFFSET([1]Main!$H$58,0,0,[1]Main!$C$5,1)</definedName>
    <definedName name="cashflow7">OFFSET([1]Main!$I$58,0,0,[1]Main!$C$5,1)</definedName>
    <definedName name="cashflowyrs">OFFSET([1]Main!$B$58,0,0,[1]Main!$C$5,1)</definedName>
    <definedName name="cfyears">OFFSET('[1]Cash Flow Graph'!$A$46,0,0,,1)</definedName>
    <definedName name="hours1">[1]Operating!#REF!</definedName>
    <definedName name="invest1">[1]Main!$B$25</definedName>
    <definedName name="lifeyrs">[1]Main!$C$5</definedName>
    <definedName name="milk1">[1]Operating!$B$81</definedName>
    <definedName name="milkperdaymain">'[1]Data Entry'!$B$15</definedName>
    <definedName name="salvage1">[1]Main!#REF!</definedName>
    <definedName name="sensscenario1">[1]Main!$T$194</definedName>
    <definedName name="sensscenario2">[1]Main!$T$195</definedName>
    <definedName name="wagemilk">'[1]Data Entry'!$B$9</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3" i="3" l="1"/>
  <c r="B4" i="3"/>
  <c r="B5" i="3"/>
  <c r="B6" i="3"/>
  <c r="B7" i="3"/>
  <c r="B8" i="3"/>
  <c r="D8" i="3"/>
  <c r="C8" i="3"/>
  <c r="D7" i="3"/>
  <c r="C7" i="3"/>
  <c r="D6" i="3"/>
  <c r="C6" i="3"/>
  <c r="D5" i="3"/>
  <c r="C5" i="3"/>
  <c r="D4" i="3"/>
  <c r="D9" i="3"/>
  <c r="C4" i="3"/>
  <c r="C9" i="3"/>
  <c r="D3" i="3"/>
  <c r="C3" i="3"/>
  <c r="D40" i="1"/>
  <c r="D27" i="1"/>
  <c r="D12" i="1"/>
  <c r="D14" i="1"/>
  <c r="D17" i="1"/>
  <c r="D9" i="1"/>
  <c r="D7" i="1"/>
  <c r="D10" i="1"/>
  <c r="C14" i="1"/>
  <c r="B14" i="1"/>
  <c r="C12" i="1"/>
  <c r="B12" i="1"/>
  <c r="C22" i="1"/>
  <c r="B22" i="1"/>
  <c r="C17" i="1"/>
  <c r="C40" i="1"/>
  <c r="C27" i="1"/>
  <c r="C9" i="1"/>
  <c r="C7" i="1"/>
  <c r="B9" i="3"/>
  <c r="D18" i="1"/>
  <c r="D28" i="1"/>
  <c r="D22" i="1"/>
  <c r="C10" i="1"/>
  <c r="C28" i="1"/>
  <c r="C18" i="1"/>
  <c r="C29" i="1"/>
  <c r="D29" i="1"/>
  <c r="D41" i="1"/>
  <c r="D44" i="1"/>
  <c r="D48" i="1"/>
  <c r="C41" i="1"/>
  <c r="C44" i="1"/>
  <c r="C48" i="1"/>
  <c r="B9" i="1"/>
  <c r="B40" i="1"/>
  <c r="B27" i="1"/>
  <c r="B17" i="1"/>
  <c r="B7" i="1"/>
  <c r="F40" i="1"/>
  <c r="E40" i="1"/>
  <c r="G40" i="1"/>
  <c r="B10" i="1"/>
  <c r="M2" i="2"/>
  <c r="B28" i="1"/>
  <c r="B18" i="1"/>
  <c r="B29" i="1"/>
  <c r="B41" i="1"/>
  <c r="B44" i="1"/>
  <c r="B48" i="1"/>
</calcChain>
</file>

<file path=xl/comments1.xml><?xml version="1.0" encoding="utf-8"?>
<comments xmlns="http://schemas.openxmlformats.org/spreadsheetml/2006/main">
  <authors>
    <author>Microsoft Office User</author>
  </authors>
  <commentList>
    <comment ref="A24" authorId="0">
      <text>
        <r>
          <rPr>
            <sz val="10"/>
            <color indexed="81"/>
            <rFont val="Calibri"/>
          </rPr>
          <t xml:space="preserve">check labor hours for the default setting
</t>
        </r>
      </text>
    </comment>
    <comment ref="A25" authorId="0">
      <text>
        <r>
          <rPr>
            <b/>
            <sz val="10"/>
            <color indexed="81"/>
            <rFont val="Calibri"/>
          </rPr>
          <t>survey average is about 26 not 90</t>
        </r>
        <r>
          <rPr>
            <sz val="10"/>
            <color indexed="81"/>
            <rFont val="Calibri"/>
          </rPr>
          <t xml:space="preserve">
</t>
        </r>
      </text>
    </comment>
    <comment ref="A37" authorId="0">
      <text>
        <r>
          <rPr>
            <sz val="10"/>
            <color indexed="81"/>
            <rFont val="Calibri"/>
          </rPr>
          <t xml:space="preserve">check survey average
</t>
        </r>
      </text>
    </comment>
    <comment ref="A39" authorId="0">
      <text>
        <r>
          <rPr>
            <b/>
            <sz val="10"/>
            <color indexed="81"/>
            <rFont val="Calibri"/>
          </rPr>
          <t xml:space="preserve">check survey average
</t>
        </r>
        <r>
          <rPr>
            <sz val="10"/>
            <color indexed="81"/>
            <rFont val="Calibri"/>
          </rPr>
          <t xml:space="preserve">
</t>
        </r>
      </text>
    </comment>
  </commentList>
</comments>
</file>

<file path=xl/sharedStrings.xml><?xml version="1.0" encoding="utf-8"?>
<sst xmlns="http://schemas.openxmlformats.org/spreadsheetml/2006/main" count="71" uniqueCount="63">
  <si>
    <t>Last modified on:</t>
  </si>
  <si>
    <t>by William F. Lazarus, Professor and Extension Economist</t>
  </si>
  <si>
    <t>wlazarus@umn.edu, 612-625-8150</t>
  </si>
  <si>
    <t>University of Minnesota</t>
  </si>
  <si>
    <t>Economic Analysis of Automated Calf Feeders</t>
  </si>
  <si>
    <t>Marcia Endres, Professor-Dairy Cattle Production</t>
  </si>
  <si>
    <t>miendres@umn.edu, 612-624-5391</t>
  </si>
  <si>
    <t>Most recently modified</t>
  </si>
  <si>
    <t>Alternative 1</t>
  </si>
  <si>
    <t>Alternative 2</t>
  </si>
  <si>
    <t>Number of feeders planned</t>
  </si>
  <si>
    <t>Cost of building and equipment other than the feeders themselves</t>
  </si>
  <si>
    <t>What do you expect the useful life of the feeder to be (years)?</t>
  </si>
  <si>
    <t>Number of calves that will be fed/feeder</t>
  </si>
  <si>
    <t>Total number of calves fed by all feeders</t>
  </si>
  <si>
    <t>Lely Calm</t>
  </si>
  <si>
    <t>Repairs &amp; maintenance for building &amp; other equipment, $/year</t>
  </si>
  <si>
    <t>Chore labor to take care of calves and feeder, hours/day</t>
  </si>
  <si>
    <t>Labor to repair feeder and other occasional tasks, hours/year</t>
  </si>
  <si>
    <t>Labor cost including fringe benefits, $/hour</t>
  </si>
  <si>
    <t>Market value of a calf when placed on the feeder</t>
  </si>
  <si>
    <t>Mortality rate of calves while on the feeder, % of number entering</t>
  </si>
  <si>
    <t>Feed, $/hd</t>
  </si>
  <si>
    <t>Veterinary/vac., $/hd</t>
  </si>
  <si>
    <t>Supplies $/hd</t>
  </si>
  <si>
    <t>Fuel &amp; oil $/hd</t>
  </si>
  <si>
    <t>Utilities $/hd</t>
  </si>
  <si>
    <t>Bedding $/hd</t>
  </si>
  <si>
    <t>Building lease costs $/hd</t>
  </si>
  <si>
    <t>Farm insurance $/hd</t>
  </si>
  <si>
    <t>Miscellaneous $/hd</t>
  </si>
  <si>
    <t>Total operating costs $/hd w/o calf</t>
  </si>
  <si>
    <t>Interest rate you would place on the investment</t>
  </si>
  <si>
    <t>Range</t>
  </si>
  <si>
    <t>Average</t>
  </si>
  <si>
    <t>Low</t>
  </si>
  <si>
    <t>High</t>
  </si>
  <si>
    <t>Breakeven market value of a calf when leaving the feeder</t>
  </si>
  <si>
    <t>Example scenario</t>
  </si>
  <si>
    <t>Days on feeder/group, including cleanup</t>
  </si>
  <si>
    <t>= input cells</t>
  </si>
  <si>
    <t>= calculated cells</t>
  </si>
  <si>
    <t>Total investment required</t>
  </si>
  <si>
    <t>Capital cost, $/year</t>
  </si>
  <si>
    <t>- per calf</t>
  </si>
  <si>
    <t>Calves fed/year</t>
  </si>
  <si>
    <t>Total labor cost, $/year</t>
  </si>
  <si>
    <t>Groups fed/year</t>
  </si>
  <si>
    <t>Total capital, labor &amp; operating costs/calf</t>
  </si>
  <si>
    <t>Total capital, labor, operating &amp; calf costs/calf</t>
  </si>
  <si>
    <t>Survey values</t>
  </si>
  <si>
    <t>Repairs &amp; maintenance for feeder, $/feeder/year</t>
  </si>
  <si>
    <t>Total cost of feeders to purchase and install</t>
  </si>
  <si>
    <t>More calves/fdr</t>
  </si>
  <si>
    <t>Fewer calves/fdr</t>
  </si>
  <si>
    <t>Suggest using median instead here</t>
  </si>
  <si>
    <t>Cost to purchase and install/feeder</t>
  </si>
  <si>
    <t>Total repairs &amp; maintenance, $/calf</t>
  </si>
  <si>
    <t>Total capital, repairs, and labor cost, $/calf</t>
  </si>
  <si>
    <t>Pie charts showing how the feeder costs compare to the total costs of raising a dairy calf</t>
  </si>
  <si>
    <t>Total labor cost, $/calf</t>
  </si>
  <si>
    <t>Capital cost, $/calf</t>
  </si>
  <si>
    <t>Name feeder scenarios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</si>
</sst>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d/yy;@"/>
    <numFmt numFmtId="165" formatCode="&quot;$&quot;#,##0.00"/>
    <numFmt numFmtId="166" formatCode="&quot;$&quot;#,##0"/>
    <numFmt numFmtId="167" formatCode="0.0%"/>
    <numFmt numFmtId="168" formatCode="#,##0.0"/>
  </numFmts>
  <fonts count="7" x14ac:knownFonts="1">
    <font>
      <sz val="11"/>
      <color theme="1"/>
      <name val="Calibri"/>
      <family val="2"/>
      <scheme val="minor"/>
    </font>
    <font>
      <sz val="11"/>
      <color theme="1"/>
      <name val="Calibri"/>
      <family val="2"/>
      <scheme val="minor"/>
    </font>
    <font>
      <b/>
      <sz val="16"/>
      <color rgb="FFFFC000"/>
      <name val="Arial"/>
      <family val="2"/>
    </font>
    <font>
      <u/>
      <sz val="11"/>
      <color theme="10"/>
      <name val="Calibri"/>
      <family val="2"/>
      <scheme val="minor"/>
    </font>
    <font>
      <sz val="11"/>
      <color theme="1"/>
      <name val="Calibri"/>
      <family val="2"/>
    </font>
    <font>
      <sz val="10"/>
      <color indexed="81"/>
      <name val="Calibri"/>
    </font>
    <font>
      <b/>
      <sz val="10"/>
      <color indexed="81"/>
      <name val="Calibri"/>
    </font>
  </fonts>
  <fills count="6">
    <fill>
      <patternFill patternType="none"/>
    </fill>
    <fill>
      <patternFill patternType="gray125"/>
    </fill>
    <fill>
      <patternFill patternType="solid">
        <fgColor indexed="16"/>
        <bgColor indexed="37"/>
      </patternFill>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s>
  <borders count="4">
    <border>
      <left/>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s>
  <cellStyleXfs count="3">
    <xf numFmtId="0" fontId="0" fillId="0" borderId="0"/>
    <xf numFmtId="9" fontId="1" fillId="0" borderId="0" applyFont="0" applyFill="0" applyBorder="0" applyAlignment="0" applyProtection="0"/>
    <xf numFmtId="0" fontId="3" fillId="0" borderId="0" applyNumberFormat="0" applyFill="0" applyBorder="0" applyAlignment="0" applyProtection="0"/>
  </cellStyleXfs>
  <cellXfs count="54">
    <xf numFmtId="0" fontId="0" fillId="0" borderId="0" xfId="0"/>
    <xf numFmtId="0" fontId="0" fillId="3" borderId="0" xfId="0" applyFill="1"/>
    <xf numFmtId="0" fontId="0" fillId="3" borderId="0" xfId="0" applyFont="1" applyFill="1" applyAlignment="1"/>
    <xf numFmtId="14" fontId="0" fillId="3" borderId="0" xfId="0" applyNumberFormat="1" applyFill="1"/>
    <xf numFmtId="0" fontId="0" fillId="3" borderId="0" xfId="0" applyFont="1" applyFill="1" applyAlignment="1">
      <alignment horizontal="center"/>
    </xf>
    <xf numFmtId="0" fontId="0" fillId="3" borderId="0" xfId="0" quotePrefix="1" applyFill="1" applyAlignment="1">
      <alignment horizontal="center"/>
    </xf>
    <xf numFmtId="0" fontId="0" fillId="3" borderId="0" xfId="0" quotePrefix="1" applyFill="1" applyAlignment="1"/>
    <xf numFmtId="0" fontId="0" fillId="3" borderId="0" xfId="0" quotePrefix="1" applyFill="1" applyAlignment="1">
      <alignment horizontal="left" indent="2"/>
    </xf>
    <xf numFmtId="164" fontId="0" fillId="3" borderId="0" xfId="0" applyNumberFormat="1" applyFill="1"/>
    <xf numFmtId="0" fontId="0" fillId="3" borderId="0" xfId="0" applyFill="1" applyAlignment="1">
      <alignment horizontal="center"/>
    </xf>
    <xf numFmtId="0" fontId="3" fillId="3" borderId="0" xfId="2" applyFill="1" applyAlignment="1">
      <alignment horizontal="center"/>
    </xf>
    <xf numFmtId="14" fontId="0" fillId="3" borderId="0" xfId="0" applyNumberFormat="1" applyFill="1" applyProtection="1">
      <protection locked="0"/>
    </xf>
    <xf numFmtId="0" fontId="0" fillId="0" borderId="0" xfId="0" applyAlignment="1" applyProtection="1">
      <alignment horizontal="left"/>
    </xf>
    <xf numFmtId="0" fontId="0" fillId="4" borderId="1" xfId="0" applyFill="1" applyBorder="1" applyAlignment="1" applyProtection="1">
      <alignment wrapText="1"/>
      <protection locked="0"/>
    </xf>
    <xf numFmtId="0" fontId="0" fillId="4" borderId="2" xfId="0" applyFill="1" applyBorder="1" applyAlignment="1" applyProtection="1">
      <alignment wrapText="1"/>
      <protection locked="0"/>
    </xf>
    <xf numFmtId="0" fontId="0" fillId="0" borderId="0" xfId="0" applyAlignment="1">
      <alignment wrapText="1"/>
    </xf>
    <xf numFmtId="0" fontId="0" fillId="0" borderId="0" xfId="0" applyFill="1" applyBorder="1" applyAlignment="1">
      <alignment wrapText="1"/>
    </xf>
    <xf numFmtId="0" fontId="0" fillId="0" borderId="0" xfId="0" quotePrefix="1"/>
    <xf numFmtId="9" fontId="0" fillId="0" borderId="0" xfId="1" applyFont="1"/>
    <xf numFmtId="165" fontId="0" fillId="0" borderId="0" xfId="0" applyNumberFormat="1"/>
    <xf numFmtId="166" fontId="0" fillId="0" borderId="0" xfId="0" quotePrefix="1" applyNumberFormat="1"/>
    <xf numFmtId="166" fontId="0" fillId="0" borderId="0" xfId="0" applyNumberFormat="1"/>
    <xf numFmtId="166" fontId="4" fillId="0" borderId="0" xfId="0" applyNumberFormat="1" applyFont="1" applyFill="1" applyBorder="1"/>
    <xf numFmtId="165" fontId="4" fillId="0" borderId="0" xfId="0" applyNumberFormat="1" applyFont="1" applyFill="1" applyBorder="1"/>
    <xf numFmtId="0" fontId="0" fillId="0" borderId="0" xfId="0" applyBorder="1" applyAlignment="1">
      <alignment wrapText="1"/>
    </xf>
    <xf numFmtId="0" fontId="0" fillId="0" borderId="0" xfId="0" applyBorder="1" applyAlignment="1">
      <alignment horizontal="left" wrapText="1" indent="1"/>
    </xf>
    <xf numFmtId="167" fontId="0" fillId="4" borderId="2" xfId="1" applyNumberFormat="1" applyFont="1" applyFill="1" applyBorder="1" applyAlignment="1" applyProtection="1">
      <alignment wrapText="1"/>
      <protection locked="0"/>
    </xf>
    <xf numFmtId="166" fontId="0" fillId="4" borderId="2" xfId="0" applyNumberFormat="1" applyFill="1" applyBorder="1" applyAlignment="1" applyProtection="1">
      <alignment wrapText="1"/>
      <protection locked="0"/>
    </xf>
    <xf numFmtId="166" fontId="0" fillId="0" borderId="2" xfId="0" applyNumberFormat="1" applyFill="1" applyBorder="1" applyAlignment="1" applyProtection="1">
      <alignment wrapText="1"/>
      <protection locked="0"/>
    </xf>
    <xf numFmtId="0" fontId="0" fillId="4" borderId="2" xfId="0" applyFill="1" applyBorder="1"/>
    <xf numFmtId="0" fontId="0" fillId="0" borderId="2" xfId="0" applyBorder="1"/>
    <xf numFmtId="0" fontId="0" fillId="0" borderId="0" xfId="0" quotePrefix="1" applyAlignment="1"/>
    <xf numFmtId="0" fontId="0" fillId="0" borderId="0" xfId="0" quotePrefix="1" applyFill="1" applyBorder="1" applyAlignment="1">
      <alignment horizontal="left" wrapText="1" indent="1"/>
    </xf>
    <xf numFmtId="3" fontId="0" fillId="4" borderId="1" xfId="0" applyNumberFormat="1" applyFill="1" applyBorder="1" applyAlignment="1" applyProtection="1">
      <alignment wrapText="1"/>
      <protection locked="0"/>
    </xf>
    <xf numFmtId="3" fontId="0" fillId="4" borderId="2" xfId="0" applyNumberFormat="1" applyFill="1" applyBorder="1" applyAlignment="1" applyProtection="1">
      <alignment wrapText="1"/>
      <protection locked="0"/>
    </xf>
    <xf numFmtId="3" fontId="0" fillId="0" borderId="0" xfId="0" applyNumberFormat="1"/>
    <xf numFmtId="165" fontId="0" fillId="4" borderId="2" xfId="0" applyNumberFormat="1" applyFill="1" applyBorder="1"/>
    <xf numFmtId="166" fontId="0" fillId="4" borderId="2" xfId="0" applyNumberFormat="1" applyFill="1" applyBorder="1"/>
    <xf numFmtId="3" fontId="0" fillId="0" borderId="2" xfId="0" applyNumberFormat="1" applyBorder="1"/>
    <xf numFmtId="166" fontId="0" fillId="0" borderId="2" xfId="0" applyNumberFormat="1" applyFont="1" applyBorder="1"/>
    <xf numFmtId="165" fontId="0" fillId="0" borderId="2" xfId="0" applyNumberFormat="1" applyBorder="1"/>
    <xf numFmtId="166" fontId="0" fillId="0" borderId="2" xfId="0" applyNumberFormat="1" applyBorder="1"/>
    <xf numFmtId="168" fontId="0" fillId="0" borderId="2" xfId="0" applyNumberFormat="1" applyFill="1" applyBorder="1" applyAlignment="1" applyProtection="1">
      <alignment wrapText="1"/>
      <protection locked="0"/>
    </xf>
    <xf numFmtId="0" fontId="0" fillId="0" borderId="0" xfId="0" applyFill="1" applyBorder="1" applyAlignment="1">
      <alignment horizontal="left" wrapText="1" indent="1"/>
    </xf>
    <xf numFmtId="167" fontId="0" fillId="4" borderId="2" xfId="1" applyNumberFormat="1" applyFont="1" applyFill="1" applyBorder="1"/>
    <xf numFmtId="0" fontId="0" fillId="0" borderId="3" xfId="0" applyBorder="1" applyAlignment="1">
      <alignment horizontal="centerContinuous"/>
    </xf>
    <xf numFmtId="166" fontId="0" fillId="0" borderId="2" xfId="0" applyNumberFormat="1" applyFill="1" applyBorder="1"/>
    <xf numFmtId="165" fontId="0" fillId="0" borderId="2" xfId="0" applyNumberFormat="1" applyFill="1" applyBorder="1"/>
    <xf numFmtId="0" fontId="0" fillId="5" borderId="0" xfId="0" quotePrefix="1" applyFill="1"/>
    <xf numFmtId="0" fontId="0" fillId="5" borderId="0" xfId="0" applyFill="1"/>
    <xf numFmtId="3" fontId="0" fillId="0" borderId="0" xfId="0" applyNumberFormat="1" applyFill="1" applyBorder="1" applyAlignment="1" applyProtection="1">
      <alignment wrapText="1"/>
      <protection locked="0"/>
    </xf>
    <xf numFmtId="0" fontId="0" fillId="0" borderId="0" xfId="0" applyBorder="1" applyAlignment="1">
      <alignment horizontal="left" wrapText="1"/>
    </xf>
    <xf numFmtId="0" fontId="2" fillId="2" borderId="0" xfId="0" applyNumberFormat="1" applyFont="1" applyFill="1" applyBorder="1" applyAlignment="1">
      <alignment horizontal="center" vertical="center"/>
    </xf>
    <xf numFmtId="0" fontId="0" fillId="3" borderId="0" xfId="0" applyFont="1" applyFill="1" applyAlignment="1">
      <alignment horizontal="center"/>
    </xf>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externalLink" Target="externalLinks/externalLink1.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Charts!$B$3</c:f>
          <c:strCache>
            <c:ptCount val="1"/>
            <c:pt idx="0">
              <c:v>Example scenario</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Charts!$A$4:$A$8</c:f>
              <c:strCache>
                <c:ptCount val="5"/>
                <c:pt idx="0">
                  <c:v>Capital cost, $/calf</c:v>
                </c:pt>
                <c:pt idx="1">
                  <c:v>Total repairs &amp; maintenance, $/calf</c:v>
                </c:pt>
                <c:pt idx="2">
                  <c:v>Total labor cost, $/calf</c:v>
                </c:pt>
                <c:pt idx="3">
                  <c:v>Total operating costs $/hd w/o calf</c:v>
                </c:pt>
                <c:pt idx="4">
                  <c:v>Market value of a calf when placed on the feeder</c:v>
                </c:pt>
              </c:strCache>
            </c:strRef>
          </c:cat>
          <c:val>
            <c:numRef>
              <c:f>Charts!$B$4:$B$8</c:f>
              <c:numCache>
                <c:formatCode>"$"#,##0.00</c:formatCode>
                <c:ptCount val="5"/>
                <c:pt idx="0">
                  <c:v>16.48820284740232</c:v>
                </c:pt>
                <c:pt idx="1">
                  <c:v>12.32876712328767</c:v>
                </c:pt>
                <c:pt idx="2">
                  <c:v>8.931506849315068</c:v>
                </c:pt>
                <c:pt idx="3">
                  <c:v>402.4</c:v>
                </c:pt>
                <c:pt idx="4">
                  <c:v>100.0</c:v>
                </c:pt>
              </c:numCache>
            </c:numRef>
          </c:val>
          <c:extLst xmlns:c16r2="http://schemas.microsoft.com/office/drawing/2015/06/chart">
            <c:ext xmlns:c16="http://schemas.microsoft.com/office/drawing/2014/chart" uri="{C3380CC4-5D6E-409C-BE32-E72D297353CC}">
              <c16:uniqueId val="{00000000-333B-4794-872C-4A86112EFD92}"/>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Charts!$C$3</c:f>
          <c:strCache>
            <c:ptCount val="1"/>
            <c:pt idx="0">
              <c:v>Alternative 1</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EBE9-4685-A47D-6CE8286B8433}"/>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EBE9-4685-A47D-6CE8286B8433}"/>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EBE9-4685-A47D-6CE8286B8433}"/>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EBE9-4685-A47D-6CE8286B8433}"/>
              </c:ext>
            </c:extLst>
          </c:dPt>
          <c:dPt>
            <c:idx val="4"/>
            <c:bubble3D val="0"/>
            <c:spPr>
              <a:solidFill>
                <a:schemeClr val="accent5"/>
              </a:solidFill>
              <a:ln w="19050">
                <a:solidFill>
                  <a:schemeClr val="lt1"/>
                </a:solidFill>
              </a:ln>
              <a:effectLst/>
            </c:spPr>
            <c:extLst xmlns:c16r2="http://schemas.microsoft.com/office/drawing/2015/06/chart">
              <c:ext xmlns:c16="http://schemas.microsoft.com/office/drawing/2014/chart" uri="{C3380CC4-5D6E-409C-BE32-E72D297353CC}">
                <c16:uniqueId val="{00000009-EBE9-4685-A47D-6CE8286B8433}"/>
              </c:ext>
            </c:extLst>
          </c:dPt>
          <c:cat>
            <c:strRef>
              <c:f>Charts!$A$4:$A$8</c:f>
              <c:strCache>
                <c:ptCount val="5"/>
                <c:pt idx="0">
                  <c:v>Capital cost, $/calf</c:v>
                </c:pt>
                <c:pt idx="1">
                  <c:v>Total repairs &amp; maintenance, $/calf</c:v>
                </c:pt>
                <c:pt idx="2">
                  <c:v>Total labor cost, $/calf</c:v>
                </c:pt>
                <c:pt idx="3">
                  <c:v>Total operating costs $/hd w/o calf</c:v>
                </c:pt>
                <c:pt idx="4">
                  <c:v>Market value of a calf when placed on the feeder</c:v>
                </c:pt>
              </c:strCache>
            </c:strRef>
          </c:cat>
          <c:val>
            <c:numRef>
              <c:f>Charts!$C$4:$C$8</c:f>
              <c:numCache>
                <c:formatCode>"$"#,##0.00</c:formatCode>
                <c:ptCount val="5"/>
                <c:pt idx="0">
                  <c:v>9.892921708441395</c:v>
                </c:pt>
                <c:pt idx="1">
                  <c:v>6.84931506849315</c:v>
                </c:pt>
                <c:pt idx="2">
                  <c:v>8.931506849315068</c:v>
                </c:pt>
                <c:pt idx="3">
                  <c:v>404.4</c:v>
                </c:pt>
                <c:pt idx="4">
                  <c:v>100.0</c:v>
                </c:pt>
              </c:numCache>
            </c:numRef>
          </c:val>
          <c:extLst xmlns:c16r2="http://schemas.microsoft.com/office/drawing/2015/06/chart">
            <c:ext xmlns:c16="http://schemas.microsoft.com/office/drawing/2014/chart" uri="{C3380CC4-5D6E-409C-BE32-E72D297353CC}">
              <c16:uniqueId val="{0000000A-EBE9-4685-A47D-6CE8286B8433}"/>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Charts!$D$3</c:f>
          <c:strCache>
            <c:ptCount val="1"/>
            <c:pt idx="0">
              <c:v>Alternative 2</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7CBA-4A8D-A082-A60FB8866E9D}"/>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7CBA-4A8D-A082-A60FB8866E9D}"/>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7CBA-4A8D-A082-A60FB8866E9D}"/>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7CBA-4A8D-A082-A60FB8866E9D}"/>
              </c:ext>
            </c:extLst>
          </c:dPt>
          <c:dPt>
            <c:idx val="4"/>
            <c:bubble3D val="0"/>
            <c:spPr>
              <a:solidFill>
                <a:schemeClr val="accent5"/>
              </a:solidFill>
              <a:ln w="19050">
                <a:solidFill>
                  <a:schemeClr val="lt1"/>
                </a:solidFill>
              </a:ln>
              <a:effectLst/>
            </c:spPr>
            <c:extLst xmlns:c16r2="http://schemas.microsoft.com/office/drawing/2015/06/chart">
              <c:ext xmlns:c16="http://schemas.microsoft.com/office/drawing/2014/chart" uri="{C3380CC4-5D6E-409C-BE32-E72D297353CC}">
                <c16:uniqueId val="{00000009-7CBA-4A8D-A082-A60FB8866E9D}"/>
              </c:ext>
            </c:extLst>
          </c:dPt>
          <c:cat>
            <c:strRef>
              <c:f>Charts!$A$4:$A$8</c:f>
              <c:strCache>
                <c:ptCount val="5"/>
                <c:pt idx="0">
                  <c:v>Capital cost, $/calf</c:v>
                </c:pt>
                <c:pt idx="1">
                  <c:v>Total repairs &amp; maintenance, $/calf</c:v>
                </c:pt>
                <c:pt idx="2">
                  <c:v>Total labor cost, $/calf</c:v>
                </c:pt>
                <c:pt idx="3">
                  <c:v>Total operating costs $/hd w/o calf</c:v>
                </c:pt>
                <c:pt idx="4">
                  <c:v>Market value of a calf when placed on the feeder</c:v>
                </c:pt>
              </c:strCache>
            </c:strRef>
          </c:cat>
          <c:val>
            <c:numRef>
              <c:f>Charts!$D$4:$D$8</c:f>
              <c:numCache>
                <c:formatCode>"$"#,##0.00</c:formatCode>
                <c:ptCount val="5"/>
                <c:pt idx="0">
                  <c:v>27.48033807900388</c:v>
                </c:pt>
                <c:pt idx="1">
                  <c:v>23.28767123287671</c:v>
                </c:pt>
                <c:pt idx="2">
                  <c:v>8.931506849315068</c:v>
                </c:pt>
                <c:pt idx="3">
                  <c:v>400.4</c:v>
                </c:pt>
                <c:pt idx="4">
                  <c:v>100.0</c:v>
                </c:pt>
              </c:numCache>
            </c:numRef>
          </c:val>
          <c:extLst xmlns:c16r2="http://schemas.microsoft.com/office/drawing/2015/06/chart">
            <c:ext xmlns:c16="http://schemas.microsoft.com/office/drawing/2014/chart" uri="{C3380CC4-5D6E-409C-BE32-E72D297353CC}">
              <c16:uniqueId val="{0000000A-7CBA-4A8D-A082-A60FB8866E9D}"/>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133350</xdr:colOff>
      <xdr:row>9</xdr:row>
      <xdr:rowOff>86590</xdr:rowOff>
    </xdr:from>
    <xdr:to>
      <xdr:col>10</xdr:col>
      <xdr:colOff>466725</xdr:colOff>
      <xdr:row>15</xdr:row>
      <xdr:rowOff>57150</xdr:rowOff>
    </xdr:to>
    <xdr:sp macro="" textlink="">
      <xdr:nvSpPr>
        <xdr:cNvPr id="2" name="TextBox 1"/>
        <xdr:cNvSpPr txBox="1"/>
      </xdr:nvSpPr>
      <xdr:spPr>
        <a:xfrm>
          <a:off x="133350" y="1943965"/>
          <a:ext cx="6677025" cy="11135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Important note: In order to run this spreadsheet effectively, you will need to "enable macros on your computer. If you were not prompted to "Enable Content" when you first open the spreadsheet, then you will need to change your "Macro Security" level to "Disable macros WITH notification". Then, save the spreadsheet and open it again, and this time enable macros at the prompt.</a:t>
          </a:r>
          <a:endParaRPr lang="en-US" sz="1100" baseline="0"/>
        </a:p>
        <a:p>
          <a:endParaRPr lang="en-US" sz="1100"/>
        </a:p>
      </xdr:txBody>
    </xdr:sp>
    <xdr:clientData/>
  </xdr:twoCellAnchor>
  <xdr:twoCellAnchor editAs="oneCell">
    <xdr:from>
      <xdr:col>0</xdr:col>
      <xdr:colOff>86591</xdr:colOff>
      <xdr:row>1</xdr:row>
      <xdr:rowOff>112568</xdr:rowOff>
    </xdr:from>
    <xdr:to>
      <xdr:col>2</xdr:col>
      <xdr:colOff>355023</xdr:colOff>
      <xdr:row>4</xdr:row>
      <xdr:rowOff>120190</xdr:rowOff>
    </xdr:to>
    <xdr:pic>
      <xdr:nvPicPr>
        <xdr:cNvPr id="3" name="Picture 2" descr="vertMixedDtoD.gif"/>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6591" y="445943"/>
          <a:ext cx="1706707" cy="5791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381000</xdr:colOff>
      <xdr:row>12</xdr:row>
      <xdr:rowOff>38100</xdr:rowOff>
    </xdr:from>
    <xdr:to>
      <xdr:col>3</xdr:col>
      <xdr:colOff>504825</xdr:colOff>
      <xdr:row>26</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419100</xdr:colOff>
      <xdr:row>27</xdr:row>
      <xdr:rowOff>76200</xdr:rowOff>
    </xdr:from>
    <xdr:to>
      <xdr:col>3</xdr:col>
      <xdr:colOff>542925</xdr:colOff>
      <xdr:row>41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409575</xdr:colOff>
      <xdr:row>42</xdr:row>
      <xdr:rowOff>142875</xdr:rowOff>
    </xdr:from>
    <xdr:to>
      <xdr:col>3</xdr:col>
      <xdr:colOff>533400</xdr:colOff>
      <xdr:row>57</xdr:row>
      <xdr:rowOff>47625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ota/Dropbox/Shiny/AutomaticCalfFeeder/www/H:/a_xls/Management/dairy/bkevenmilk0714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h Flow Graph"/>
      <sheetName val="Main"/>
      <sheetName val="Operating"/>
      <sheetName val="Data Entry"/>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mailto:miendres@umn.edu,%20612-624-5391" TargetMode="External"/><Relationship Id="rId2" Type="http://schemas.openxmlformats.org/officeDocument/2006/relationships/printerSettings" Target="../printerSettings/printerSettings1.bin"/><Relationship Id="rId3"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Q47"/>
  <sheetViews>
    <sheetView workbookViewId="0">
      <selection activeCell="M2" sqref="M2"/>
    </sheetView>
  </sheetViews>
  <sheetFormatPr baseColWidth="10" defaultColWidth="8.83203125" defaultRowHeight="15" x14ac:dyDescent="0.2"/>
  <cols>
    <col min="1" max="1" width="12.5" customWidth="1"/>
    <col min="3" max="3" width="9.5" bestFit="1" customWidth="1"/>
    <col min="13" max="13" width="14.5" customWidth="1"/>
  </cols>
  <sheetData>
    <row r="1" spans="1:17" ht="26.25" customHeight="1" x14ac:dyDescent="0.2">
      <c r="A1" s="52" t="s">
        <v>4</v>
      </c>
      <c r="B1" s="52"/>
      <c r="C1" s="52"/>
      <c r="D1" s="52"/>
      <c r="E1" s="52"/>
      <c r="F1" s="52"/>
      <c r="G1" s="52"/>
      <c r="H1" s="52"/>
      <c r="I1" s="52"/>
      <c r="J1" s="52"/>
      <c r="K1" s="52"/>
      <c r="L1" s="1"/>
      <c r="M1" s="1" t="s">
        <v>0</v>
      </c>
      <c r="N1" s="1"/>
      <c r="O1" s="1"/>
      <c r="P1" s="1"/>
      <c r="Q1" s="1"/>
    </row>
    <row r="2" spans="1:17" x14ac:dyDescent="0.2">
      <c r="A2" s="1"/>
      <c r="B2" s="2"/>
      <c r="C2" s="2"/>
      <c r="D2" s="2"/>
      <c r="E2" s="53" t="s">
        <v>1</v>
      </c>
      <c r="F2" s="53"/>
      <c r="G2" s="53"/>
      <c r="H2" s="53"/>
      <c r="I2" s="53"/>
      <c r="J2" s="53"/>
      <c r="K2" s="53"/>
      <c r="L2" s="1"/>
      <c r="M2" s="3">
        <f>'Data Entry'!K2</f>
        <v>42837</v>
      </c>
      <c r="N2" s="1"/>
      <c r="O2" s="1"/>
      <c r="P2" s="1"/>
      <c r="Q2" s="1"/>
    </row>
    <row r="3" spans="1:17" x14ac:dyDescent="0.2">
      <c r="A3" s="4"/>
      <c r="B3" s="4"/>
      <c r="C3" s="4"/>
      <c r="D3" s="4"/>
      <c r="F3" s="5"/>
      <c r="G3" s="5"/>
      <c r="H3" s="5" t="s">
        <v>2</v>
      </c>
      <c r="I3" s="5"/>
      <c r="J3" s="5"/>
      <c r="K3" s="5"/>
      <c r="L3" s="1"/>
      <c r="M3" s="3"/>
      <c r="N3" s="1"/>
      <c r="O3" s="1"/>
      <c r="P3" s="1"/>
      <c r="Q3" s="1"/>
    </row>
    <row r="4" spans="1:17" x14ac:dyDescent="0.2">
      <c r="A4" s="1"/>
      <c r="B4" s="6"/>
      <c r="C4" s="6"/>
      <c r="D4" s="6"/>
      <c r="E4" s="1"/>
      <c r="F4" s="1"/>
      <c r="G4" s="1"/>
      <c r="H4" s="1"/>
      <c r="I4" s="1"/>
      <c r="J4" s="1"/>
      <c r="K4" s="1"/>
      <c r="L4" s="1"/>
      <c r="M4" s="1"/>
      <c r="N4" s="1"/>
      <c r="O4" s="1"/>
      <c r="P4" s="1"/>
      <c r="Q4" s="1"/>
    </row>
    <row r="5" spans="1:17" x14ac:dyDescent="0.2">
      <c r="A5" s="7"/>
      <c r="B5" s="1"/>
      <c r="C5" s="8"/>
      <c r="D5" s="1"/>
      <c r="E5" s="1"/>
      <c r="F5" s="1"/>
      <c r="G5" s="1"/>
      <c r="H5" s="9" t="s">
        <v>5</v>
      </c>
      <c r="I5" s="1"/>
      <c r="J5" s="1"/>
      <c r="K5" s="1"/>
      <c r="L5" s="1"/>
      <c r="M5" s="1"/>
      <c r="N5" s="1"/>
      <c r="O5" s="1"/>
      <c r="P5" s="1"/>
      <c r="Q5" s="1"/>
    </row>
    <row r="6" spans="1:17" x14ac:dyDescent="0.2">
      <c r="A6" s="1"/>
      <c r="B6" s="1"/>
      <c r="C6" s="1"/>
      <c r="D6" s="1"/>
      <c r="E6" s="1"/>
      <c r="F6" s="1"/>
      <c r="G6" s="1"/>
      <c r="H6" s="10" t="s">
        <v>6</v>
      </c>
      <c r="I6" s="1"/>
      <c r="J6" s="1"/>
      <c r="K6" s="1"/>
      <c r="L6" s="1"/>
      <c r="M6" s="1"/>
      <c r="N6" s="1"/>
      <c r="O6" s="1"/>
      <c r="P6" s="1"/>
      <c r="Q6" s="1"/>
    </row>
    <row r="7" spans="1:17" x14ac:dyDescent="0.2">
      <c r="A7" s="1"/>
      <c r="B7" s="1"/>
      <c r="C7" s="1"/>
      <c r="D7" s="1"/>
      <c r="E7" s="1"/>
      <c r="F7" s="1"/>
      <c r="G7" s="1"/>
      <c r="H7" s="1"/>
      <c r="I7" s="1"/>
      <c r="J7" s="1"/>
      <c r="K7" s="1"/>
      <c r="L7" s="1"/>
      <c r="M7" s="1"/>
      <c r="N7" s="1"/>
      <c r="O7" s="1"/>
      <c r="P7" s="1"/>
      <c r="Q7" s="1"/>
    </row>
    <row r="8" spans="1:17" x14ac:dyDescent="0.2">
      <c r="A8" s="1"/>
      <c r="B8" s="1"/>
      <c r="C8" s="1"/>
      <c r="D8" s="1"/>
      <c r="E8" s="1"/>
      <c r="F8" s="1"/>
      <c r="G8" s="1"/>
      <c r="H8" s="9" t="s">
        <v>3</v>
      </c>
      <c r="I8" s="1"/>
      <c r="J8" s="1"/>
      <c r="K8" s="1"/>
      <c r="L8" s="1"/>
      <c r="M8" s="1"/>
      <c r="N8" s="1"/>
      <c r="O8" s="1"/>
      <c r="P8" s="1"/>
      <c r="Q8" s="1"/>
    </row>
    <row r="9" spans="1:17" x14ac:dyDescent="0.2">
      <c r="A9" s="1"/>
      <c r="B9" s="1"/>
      <c r="C9" s="1"/>
      <c r="D9" s="1"/>
      <c r="E9" s="1"/>
      <c r="F9" s="1"/>
      <c r="G9" s="1"/>
      <c r="H9" s="9"/>
      <c r="I9" s="1"/>
      <c r="J9" s="1"/>
      <c r="K9" s="1"/>
      <c r="L9" s="1"/>
      <c r="M9" s="1"/>
      <c r="N9" s="1"/>
      <c r="O9" s="1"/>
      <c r="P9" s="1"/>
      <c r="Q9" s="1"/>
    </row>
    <row r="10" spans="1:17" x14ac:dyDescent="0.2">
      <c r="A10" s="1"/>
      <c r="B10" s="1"/>
      <c r="C10" s="1"/>
      <c r="D10" s="1"/>
      <c r="E10" s="1"/>
      <c r="F10" s="1"/>
      <c r="G10" s="1"/>
      <c r="H10" s="1"/>
      <c r="I10" s="1"/>
      <c r="J10" s="1"/>
      <c r="K10" s="1"/>
      <c r="L10" s="1"/>
      <c r="M10" s="1"/>
      <c r="N10" s="1"/>
      <c r="O10" s="1"/>
      <c r="P10" s="1"/>
      <c r="Q10" s="1"/>
    </row>
    <row r="11" spans="1:17" x14ac:dyDescent="0.2">
      <c r="A11" s="1"/>
      <c r="B11" s="1"/>
      <c r="C11" s="1"/>
      <c r="D11" s="1"/>
      <c r="E11" s="1"/>
      <c r="F11" s="1"/>
      <c r="G11" s="1"/>
      <c r="H11" s="1"/>
      <c r="I11" s="1"/>
      <c r="J11" s="1"/>
      <c r="K11" s="1"/>
      <c r="L11" s="1"/>
      <c r="M11" s="1"/>
      <c r="N11" s="1"/>
      <c r="O11" s="1"/>
      <c r="P11" s="1"/>
      <c r="Q11" s="1"/>
    </row>
    <row r="12" spans="1:17" x14ac:dyDescent="0.2">
      <c r="A12" s="1"/>
      <c r="B12" s="1"/>
      <c r="C12" s="1"/>
      <c r="D12" s="1"/>
      <c r="E12" s="1"/>
      <c r="F12" s="1"/>
      <c r="G12" s="1"/>
      <c r="H12" s="1"/>
      <c r="I12" s="1"/>
      <c r="J12" s="1"/>
      <c r="K12" s="1"/>
      <c r="L12" s="1"/>
      <c r="M12" s="1"/>
      <c r="N12" s="1"/>
      <c r="O12" s="1"/>
      <c r="P12" s="1"/>
      <c r="Q12" s="1"/>
    </row>
    <row r="13" spans="1:17" x14ac:dyDescent="0.2">
      <c r="A13" s="1"/>
      <c r="B13" s="1"/>
      <c r="C13" s="1"/>
      <c r="D13" s="1"/>
      <c r="E13" s="1"/>
      <c r="F13" s="1"/>
      <c r="G13" s="1"/>
      <c r="H13" s="1"/>
      <c r="I13" s="1"/>
      <c r="J13" s="1"/>
      <c r="K13" s="1"/>
      <c r="L13" s="1"/>
      <c r="M13" s="1"/>
      <c r="N13" s="1"/>
      <c r="O13" s="1"/>
      <c r="P13" s="1"/>
      <c r="Q13" s="1"/>
    </row>
    <row r="14" spans="1:17" x14ac:dyDescent="0.2">
      <c r="A14" s="1"/>
      <c r="B14" s="1"/>
      <c r="C14" s="1"/>
      <c r="D14" s="1"/>
      <c r="E14" s="1"/>
      <c r="F14" s="1"/>
      <c r="G14" s="1"/>
      <c r="H14" s="1"/>
      <c r="I14" s="1"/>
      <c r="J14" s="1"/>
      <c r="K14" s="1"/>
      <c r="L14" s="1"/>
      <c r="M14" s="1"/>
      <c r="N14" s="1"/>
      <c r="O14" s="1"/>
      <c r="P14" s="1"/>
      <c r="Q14" s="1"/>
    </row>
    <row r="15" spans="1:17" x14ac:dyDescent="0.2">
      <c r="A15" s="1"/>
      <c r="B15" s="1"/>
      <c r="C15" s="1"/>
      <c r="D15" s="1"/>
      <c r="E15" s="1"/>
      <c r="F15" s="1"/>
      <c r="G15" s="1"/>
      <c r="H15" s="1"/>
      <c r="I15" s="1"/>
      <c r="J15" s="1"/>
      <c r="K15" s="1"/>
      <c r="L15" s="1"/>
      <c r="M15" s="1"/>
      <c r="N15" s="1"/>
      <c r="O15" s="1"/>
      <c r="P15" s="1"/>
      <c r="Q15" s="1"/>
    </row>
    <row r="16" spans="1:17" x14ac:dyDescent="0.2">
      <c r="A16" s="1"/>
      <c r="B16" s="1"/>
      <c r="C16" s="1"/>
      <c r="D16" s="1"/>
      <c r="E16" s="1"/>
      <c r="F16" s="1"/>
      <c r="G16" s="1"/>
      <c r="H16" s="1"/>
      <c r="I16" s="1"/>
      <c r="J16" s="1"/>
      <c r="K16" s="1"/>
      <c r="L16" s="1"/>
      <c r="M16" s="1"/>
      <c r="N16" s="1"/>
      <c r="O16" s="1"/>
      <c r="P16" s="1"/>
      <c r="Q16" s="1"/>
    </row>
    <row r="17" spans="1:17" x14ac:dyDescent="0.2">
      <c r="A17" s="1"/>
      <c r="B17" s="1"/>
      <c r="C17" s="1"/>
      <c r="D17" s="1"/>
      <c r="E17" s="1"/>
      <c r="F17" s="1"/>
      <c r="G17" s="1"/>
      <c r="H17" s="1"/>
      <c r="I17" s="1"/>
      <c r="J17" s="1"/>
      <c r="K17" s="1"/>
      <c r="L17" s="1"/>
      <c r="M17" s="1"/>
      <c r="N17" s="1"/>
      <c r="O17" s="1"/>
      <c r="P17" s="1"/>
      <c r="Q17" s="1"/>
    </row>
    <row r="18" spans="1:17" x14ac:dyDescent="0.2">
      <c r="A18" s="1"/>
      <c r="B18" s="1"/>
      <c r="C18" s="1"/>
      <c r="D18" s="1"/>
      <c r="E18" s="1"/>
      <c r="F18" s="1"/>
      <c r="G18" s="1"/>
      <c r="H18" s="1"/>
      <c r="I18" s="1"/>
      <c r="J18" s="1"/>
      <c r="K18" s="1"/>
      <c r="L18" s="1"/>
      <c r="M18" s="1"/>
      <c r="N18" s="1"/>
      <c r="O18" s="1"/>
      <c r="P18" s="1"/>
      <c r="Q18" s="1"/>
    </row>
    <row r="19" spans="1:17" x14ac:dyDescent="0.2">
      <c r="A19" s="1"/>
      <c r="B19" s="1"/>
      <c r="C19" s="1"/>
      <c r="D19" s="1"/>
      <c r="E19" s="1"/>
      <c r="F19" s="1"/>
      <c r="G19" s="1"/>
      <c r="H19" s="1"/>
      <c r="I19" s="1"/>
      <c r="J19" s="1"/>
      <c r="K19" s="1"/>
      <c r="L19" s="1"/>
      <c r="M19" s="1"/>
      <c r="N19" s="1"/>
      <c r="O19" s="1"/>
      <c r="P19" s="1"/>
      <c r="Q19" s="1"/>
    </row>
    <row r="20" spans="1:17" x14ac:dyDescent="0.2">
      <c r="A20" s="1"/>
      <c r="B20" s="1"/>
      <c r="C20" s="1"/>
      <c r="D20" s="1"/>
      <c r="E20" s="1"/>
      <c r="F20" s="1"/>
      <c r="G20" s="1"/>
      <c r="H20" s="1"/>
      <c r="I20" s="1"/>
      <c r="J20" s="1"/>
      <c r="K20" s="1"/>
      <c r="L20" s="1"/>
      <c r="M20" s="1"/>
      <c r="N20" s="1"/>
      <c r="O20" s="1"/>
      <c r="P20" s="1"/>
      <c r="Q20" s="1"/>
    </row>
    <row r="21" spans="1:17" x14ac:dyDescent="0.2">
      <c r="A21" s="1"/>
      <c r="B21" s="1"/>
      <c r="C21" s="1"/>
      <c r="D21" s="1"/>
      <c r="E21" s="1"/>
      <c r="F21" s="1"/>
      <c r="G21" s="1"/>
      <c r="H21" s="1"/>
      <c r="I21" s="1"/>
      <c r="J21" s="1"/>
      <c r="K21" s="1"/>
      <c r="L21" s="1"/>
      <c r="M21" s="1"/>
      <c r="N21" s="1"/>
      <c r="O21" s="1"/>
      <c r="P21" s="1"/>
      <c r="Q21" s="1"/>
    </row>
    <row r="22" spans="1:17" x14ac:dyDescent="0.2">
      <c r="A22" s="1"/>
      <c r="B22" s="1"/>
      <c r="C22" s="1"/>
      <c r="D22" s="1"/>
      <c r="E22" s="1"/>
      <c r="F22" s="1"/>
      <c r="G22" s="1"/>
      <c r="H22" s="1"/>
      <c r="I22" s="1"/>
      <c r="J22" s="1"/>
      <c r="K22" s="1"/>
      <c r="L22" s="1"/>
      <c r="M22" s="1"/>
      <c r="N22" s="1"/>
      <c r="O22" s="1"/>
      <c r="P22" s="1"/>
      <c r="Q22" s="1"/>
    </row>
    <row r="23" spans="1:17" x14ac:dyDescent="0.2">
      <c r="A23" s="1"/>
      <c r="B23" s="1"/>
      <c r="C23" s="1"/>
      <c r="D23" s="1"/>
      <c r="E23" s="1"/>
      <c r="F23" s="1"/>
      <c r="G23" s="1"/>
      <c r="H23" s="1"/>
      <c r="I23" s="1"/>
      <c r="J23" s="1"/>
      <c r="K23" s="1"/>
      <c r="L23" s="1"/>
      <c r="M23" s="1"/>
      <c r="N23" s="1"/>
      <c r="O23" s="1"/>
      <c r="P23" s="1"/>
      <c r="Q23" s="1"/>
    </row>
    <row r="24" spans="1:17" x14ac:dyDescent="0.2">
      <c r="A24" s="1"/>
      <c r="B24" s="1"/>
      <c r="C24" s="1"/>
      <c r="D24" s="1"/>
      <c r="E24" s="1"/>
      <c r="F24" s="1"/>
      <c r="G24" s="1"/>
      <c r="H24" s="1"/>
      <c r="I24" s="1"/>
      <c r="J24" s="1"/>
      <c r="K24" s="1"/>
      <c r="L24" s="1"/>
      <c r="M24" s="1"/>
      <c r="N24" s="1"/>
      <c r="O24" s="1"/>
      <c r="P24" s="1"/>
      <c r="Q24" s="1"/>
    </row>
    <row r="25" spans="1:17" x14ac:dyDescent="0.2">
      <c r="A25" s="1"/>
      <c r="B25" s="1"/>
      <c r="C25" s="1"/>
      <c r="D25" s="1"/>
      <c r="E25" s="1"/>
      <c r="F25" s="1"/>
      <c r="G25" s="1"/>
      <c r="H25" s="1"/>
      <c r="I25" s="1"/>
      <c r="J25" s="1"/>
      <c r="K25" s="1"/>
      <c r="L25" s="1"/>
      <c r="M25" s="1"/>
      <c r="N25" s="1"/>
      <c r="O25" s="1"/>
      <c r="P25" s="1"/>
      <c r="Q25" s="1"/>
    </row>
    <row r="26" spans="1:17" x14ac:dyDescent="0.2">
      <c r="A26" s="1"/>
      <c r="B26" s="1"/>
      <c r="C26" s="1"/>
      <c r="D26" s="1"/>
      <c r="E26" s="1"/>
      <c r="F26" s="1"/>
      <c r="G26" s="1"/>
      <c r="H26" s="1"/>
      <c r="I26" s="1"/>
      <c r="J26" s="1"/>
      <c r="K26" s="1"/>
      <c r="L26" s="1"/>
      <c r="M26" s="1"/>
      <c r="N26" s="1"/>
      <c r="O26" s="1"/>
      <c r="P26" s="1"/>
      <c r="Q26" s="1"/>
    </row>
    <row r="27" spans="1:17" x14ac:dyDescent="0.2">
      <c r="A27" s="1"/>
      <c r="B27" s="1"/>
      <c r="C27" s="1"/>
      <c r="D27" s="1"/>
      <c r="E27" s="1"/>
      <c r="F27" s="1"/>
      <c r="G27" s="1"/>
      <c r="H27" s="1"/>
      <c r="I27" s="1"/>
      <c r="J27" s="1"/>
      <c r="K27" s="1"/>
      <c r="L27" s="1"/>
      <c r="M27" s="1"/>
      <c r="N27" s="1"/>
      <c r="O27" s="1"/>
      <c r="P27" s="1"/>
      <c r="Q27" s="1"/>
    </row>
    <row r="28" spans="1:17" x14ac:dyDescent="0.2">
      <c r="A28" s="1"/>
      <c r="B28" s="1"/>
      <c r="C28" s="1"/>
      <c r="D28" s="1"/>
      <c r="E28" s="1"/>
      <c r="F28" s="1"/>
      <c r="G28" s="1"/>
      <c r="H28" s="1"/>
      <c r="I28" s="1"/>
      <c r="J28" s="1"/>
      <c r="K28" s="1"/>
      <c r="L28" s="1"/>
      <c r="M28" s="1"/>
      <c r="N28" s="1"/>
      <c r="O28" s="1"/>
      <c r="P28" s="1"/>
      <c r="Q28" s="1"/>
    </row>
    <row r="29" spans="1:17" x14ac:dyDescent="0.2">
      <c r="A29" s="1"/>
      <c r="B29" s="1"/>
      <c r="C29" s="1"/>
      <c r="D29" s="1"/>
      <c r="E29" s="1"/>
      <c r="F29" s="1"/>
      <c r="G29" s="1"/>
      <c r="H29" s="1"/>
      <c r="I29" s="1"/>
      <c r="J29" s="1"/>
      <c r="K29" s="1"/>
      <c r="L29" s="1"/>
      <c r="M29" s="1"/>
      <c r="N29" s="1"/>
      <c r="O29" s="1"/>
      <c r="P29" s="1"/>
      <c r="Q29" s="1"/>
    </row>
    <row r="30" spans="1:17" x14ac:dyDescent="0.2">
      <c r="A30" s="1"/>
      <c r="B30" s="1"/>
      <c r="C30" s="1"/>
      <c r="D30" s="1"/>
      <c r="E30" s="1"/>
      <c r="F30" s="1"/>
      <c r="G30" s="1"/>
      <c r="H30" s="1"/>
      <c r="I30" s="1"/>
      <c r="J30" s="1"/>
      <c r="K30" s="1"/>
      <c r="L30" s="1"/>
      <c r="M30" s="1"/>
      <c r="N30" s="1"/>
      <c r="O30" s="1"/>
      <c r="P30" s="1"/>
      <c r="Q30" s="1"/>
    </row>
    <row r="31" spans="1:17" x14ac:dyDescent="0.2">
      <c r="A31" s="1"/>
      <c r="B31" s="1"/>
      <c r="C31" s="1"/>
      <c r="D31" s="1"/>
      <c r="E31" s="1"/>
      <c r="F31" s="1"/>
      <c r="G31" s="1"/>
      <c r="H31" s="1"/>
      <c r="I31" s="1"/>
      <c r="J31" s="1"/>
      <c r="K31" s="1"/>
      <c r="L31" s="1"/>
      <c r="M31" s="1"/>
      <c r="N31" s="1"/>
      <c r="O31" s="1"/>
      <c r="P31" s="1"/>
      <c r="Q31" s="1"/>
    </row>
    <row r="32" spans="1:17" x14ac:dyDescent="0.2">
      <c r="A32" s="1"/>
      <c r="B32" s="1"/>
      <c r="C32" s="1"/>
      <c r="D32" s="1"/>
      <c r="E32" s="1"/>
      <c r="F32" s="1"/>
      <c r="G32" s="1"/>
      <c r="H32" s="1"/>
      <c r="I32" s="1"/>
      <c r="J32" s="1"/>
      <c r="K32" s="1"/>
      <c r="L32" s="1"/>
      <c r="M32" s="1"/>
      <c r="N32" s="1"/>
      <c r="O32" s="1"/>
      <c r="P32" s="1"/>
      <c r="Q32" s="1"/>
    </row>
    <row r="33" spans="1:17" x14ac:dyDescent="0.2">
      <c r="A33" s="1"/>
      <c r="B33" s="1"/>
      <c r="C33" s="1"/>
      <c r="D33" s="1"/>
      <c r="E33" s="1"/>
      <c r="F33" s="1"/>
      <c r="G33" s="1"/>
      <c r="H33" s="1"/>
      <c r="I33" s="1"/>
      <c r="J33" s="1"/>
      <c r="K33" s="1"/>
      <c r="L33" s="1"/>
      <c r="M33" s="1"/>
      <c r="N33" s="1"/>
      <c r="O33" s="1"/>
      <c r="P33" s="1"/>
      <c r="Q33" s="1"/>
    </row>
    <row r="34" spans="1:17" x14ac:dyDescent="0.2">
      <c r="A34" s="1"/>
      <c r="B34" s="1"/>
      <c r="C34" s="1"/>
      <c r="D34" s="1"/>
      <c r="E34" s="1"/>
      <c r="F34" s="1"/>
      <c r="G34" s="1"/>
      <c r="H34" s="1"/>
      <c r="I34" s="1"/>
      <c r="J34" s="1"/>
      <c r="K34" s="1"/>
      <c r="L34" s="1"/>
      <c r="M34" s="1"/>
      <c r="N34" s="1"/>
      <c r="O34" s="1"/>
      <c r="P34" s="1"/>
      <c r="Q34" s="1"/>
    </row>
    <row r="35" spans="1:17" x14ac:dyDescent="0.2">
      <c r="A35" s="1"/>
      <c r="B35" s="1"/>
      <c r="C35" s="1"/>
      <c r="D35" s="1"/>
      <c r="E35" s="1"/>
      <c r="F35" s="1"/>
      <c r="G35" s="1"/>
      <c r="H35" s="1"/>
      <c r="I35" s="1"/>
      <c r="J35" s="1"/>
      <c r="K35" s="1"/>
      <c r="L35" s="1"/>
      <c r="M35" s="1"/>
      <c r="N35" s="1"/>
      <c r="O35" s="1"/>
      <c r="P35" s="1"/>
      <c r="Q35" s="1"/>
    </row>
    <row r="36" spans="1:17" x14ac:dyDescent="0.2">
      <c r="A36" s="1"/>
      <c r="B36" s="1"/>
      <c r="C36" s="1"/>
      <c r="D36" s="1"/>
      <c r="E36" s="1"/>
      <c r="F36" s="1"/>
      <c r="G36" s="1"/>
      <c r="H36" s="1"/>
      <c r="I36" s="1"/>
      <c r="J36" s="1"/>
      <c r="K36" s="1"/>
      <c r="L36" s="1"/>
      <c r="M36" s="1"/>
      <c r="N36" s="1"/>
      <c r="O36" s="1"/>
      <c r="P36" s="1"/>
      <c r="Q36" s="1"/>
    </row>
    <row r="37" spans="1:17" x14ac:dyDescent="0.2">
      <c r="A37" s="1"/>
      <c r="B37" s="1"/>
      <c r="C37" s="1"/>
      <c r="D37" s="1"/>
      <c r="E37" s="1"/>
      <c r="F37" s="1"/>
      <c r="G37" s="1"/>
      <c r="H37" s="1"/>
      <c r="I37" s="1"/>
      <c r="J37" s="1"/>
      <c r="K37" s="1"/>
      <c r="L37" s="1"/>
      <c r="M37" s="1"/>
      <c r="N37" s="1"/>
      <c r="O37" s="1"/>
      <c r="P37" s="1"/>
      <c r="Q37" s="1"/>
    </row>
    <row r="38" spans="1:17" x14ac:dyDescent="0.2">
      <c r="A38" s="1"/>
      <c r="B38" s="1"/>
      <c r="C38" s="1"/>
      <c r="D38" s="1"/>
      <c r="E38" s="1"/>
      <c r="F38" s="1"/>
      <c r="G38" s="1"/>
      <c r="H38" s="1"/>
      <c r="I38" s="1"/>
      <c r="J38" s="1"/>
      <c r="K38" s="1"/>
      <c r="L38" s="1"/>
      <c r="M38" s="1"/>
      <c r="N38" s="1"/>
      <c r="O38" s="1"/>
      <c r="P38" s="1"/>
      <c r="Q38" s="1"/>
    </row>
    <row r="39" spans="1:17" x14ac:dyDescent="0.2">
      <c r="A39" s="1"/>
      <c r="B39" s="1"/>
      <c r="C39" s="1"/>
      <c r="D39" s="1"/>
      <c r="E39" s="1"/>
      <c r="F39" s="1"/>
      <c r="G39" s="1"/>
      <c r="H39" s="1"/>
      <c r="I39" s="1"/>
      <c r="J39" s="1"/>
      <c r="K39" s="1"/>
      <c r="L39" s="1"/>
      <c r="M39" s="1"/>
      <c r="N39" s="1"/>
      <c r="O39" s="1"/>
      <c r="P39" s="1"/>
      <c r="Q39" s="1"/>
    </row>
    <row r="40" spans="1:17" x14ac:dyDescent="0.2">
      <c r="A40" s="1"/>
      <c r="B40" s="1"/>
      <c r="C40" s="1"/>
      <c r="D40" s="1"/>
      <c r="E40" s="1"/>
      <c r="F40" s="1"/>
      <c r="G40" s="1"/>
      <c r="H40" s="1"/>
      <c r="I40" s="1"/>
      <c r="J40" s="1"/>
      <c r="K40" s="1"/>
      <c r="L40" s="1"/>
      <c r="M40" s="1"/>
      <c r="N40" s="1"/>
      <c r="O40" s="1"/>
      <c r="P40" s="1"/>
      <c r="Q40" s="1"/>
    </row>
    <row r="41" spans="1:17" x14ac:dyDescent="0.2">
      <c r="A41" s="1"/>
      <c r="B41" s="1"/>
      <c r="C41" s="1"/>
      <c r="D41" s="1"/>
      <c r="E41" s="1"/>
      <c r="F41" s="1"/>
      <c r="G41" s="1"/>
      <c r="H41" s="1"/>
      <c r="I41" s="1"/>
      <c r="J41" s="1"/>
      <c r="K41" s="1"/>
      <c r="L41" s="1"/>
      <c r="M41" s="1"/>
      <c r="N41" s="1"/>
      <c r="O41" s="1"/>
      <c r="P41" s="1"/>
      <c r="Q41" s="1"/>
    </row>
    <row r="42" spans="1:17" x14ac:dyDescent="0.2">
      <c r="A42" s="1"/>
      <c r="B42" s="1"/>
      <c r="C42" s="1"/>
      <c r="D42" s="1"/>
      <c r="E42" s="1"/>
      <c r="F42" s="1"/>
      <c r="G42" s="1"/>
      <c r="H42" s="1"/>
      <c r="I42" s="1"/>
      <c r="J42" s="1"/>
      <c r="K42" s="1"/>
      <c r="L42" s="1"/>
      <c r="M42" s="1"/>
      <c r="N42" s="1"/>
      <c r="O42" s="1"/>
      <c r="P42" s="1"/>
      <c r="Q42" s="1"/>
    </row>
    <row r="43" spans="1:17" x14ac:dyDescent="0.2">
      <c r="A43" s="1"/>
      <c r="B43" s="1"/>
      <c r="C43" s="1"/>
      <c r="D43" s="1"/>
      <c r="E43" s="1"/>
      <c r="F43" s="1"/>
      <c r="G43" s="1"/>
      <c r="H43" s="1"/>
      <c r="I43" s="1"/>
      <c r="J43" s="1"/>
      <c r="K43" s="1"/>
      <c r="L43" s="1"/>
      <c r="M43" s="1"/>
      <c r="N43" s="1"/>
      <c r="O43" s="1"/>
      <c r="P43" s="1"/>
      <c r="Q43" s="1"/>
    </row>
    <row r="44" spans="1:17" x14ac:dyDescent="0.2">
      <c r="A44" s="1"/>
      <c r="B44" s="1"/>
      <c r="C44" s="1"/>
      <c r="D44" s="1"/>
      <c r="E44" s="1"/>
      <c r="F44" s="1"/>
      <c r="G44" s="1"/>
      <c r="H44" s="1"/>
      <c r="I44" s="1"/>
      <c r="J44" s="1"/>
      <c r="K44" s="1"/>
      <c r="L44" s="1"/>
      <c r="M44" s="1"/>
      <c r="N44" s="1"/>
      <c r="O44" s="1"/>
      <c r="P44" s="1"/>
      <c r="Q44" s="1"/>
    </row>
    <row r="45" spans="1:17" x14ac:dyDescent="0.2">
      <c r="A45" s="1"/>
      <c r="B45" s="1"/>
      <c r="C45" s="1"/>
      <c r="D45" s="1"/>
      <c r="E45" s="1"/>
      <c r="F45" s="1"/>
      <c r="G45" s="1"/>
      <c r="H45" s="1"/>
      <c r="I45" s="1"/>
      <c r="J45" s="1"/>
      <c r="K45" s="1"/>
      <c r="L45" s="1"/>
      <c r="M45" s="1"/>
      <c r="N45" s="1"/>
      <c r="O45" s="1"/>
      <c r="P45" s="1"/>
      <c r="Q45" s="1"/>
    </row>
    <row r="46" spans="1:17" x14ac:dyDescent="0.2">
      <c r="A46" s="1"/>
      <c r="B46" s="1"/>
      <c r="C46" s="1"/>
      <c r="D46" s="1"/>
      <c r="E46" s="1"/>
      <c r="F46" s="1"/>
      <c r="G46" s="1"/>
      <c r="H46" s="1"/>
      <c r="I46" s="1"/>
      <c r="J46" s="1"/>
      <c r="K46" s="1"/>
      <c r="L46" s="1"/>
      <c r="M46" s="1"/>
      <c r="N46" s="1"/>
      <c r="O46" s="1"/>
      <c r="P46" s="1"/>
      <c r="Q46" s="1"/>
    </row>
    <row r="47" spans="1:17" x14ac:dyDescent="0.2">
      <c r="A47" s="1"/>
      <c r="B47" s="1"/>
      <c r="C47" s="1"/>
      <c r="D47" s="1"/>
      <c r="E47" s="1"/>
      <c r="F47" s="1"/>
      <c r="G47" s="1"/>
      <c r="H47" s="1"/>
      <c r="I47" s="1"/>
      <c r="J47" s="1"/>
      <c r="K47" s="1"/>
      <c r="L47" s="1"/>
      <c r="M47" s="1"/>
      <c r="N47" s="1"/>
      <c r="O47" s="1"/>
      <c r="P47" s="1"/>
      <c r="Q47" s="1"/>
    </row>
  </sheetData>
  <mergeCells count="2">
    <mergeCell ref="A1:K1"/>
    <mergeCell ref="E2:K2"/>
  </mergeCells>
  <hyperlinks>
    <hyperlink ref="H6" r:id="rId1"/>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L48"/>
  <sheetViews>
    <sheetView tabSelected="1" topLeftCell="A11" workbookViewId="0">
      <selection activeCell="A41" sqref="A41"/>
    </sheetView>
  </sheetViews>
  <sheetFormatPr baseColWidth="10" defaultColWidth="8.83203125" defaultRowHeight="15" x14ac:dyDescent="0.2"/>
  <cols>
    <col min="1" max="1" width="62.1640625" customWidth="1"/>
    <col min="2" max="4" width="17.5" customWidth="1"/>
    <col min="5" max="5" width="9.1640625" customWidth="1"/>
    <col min="6" max="7" width="9.33203125" customWidth="1"/>
    <col min="11" max="11" width="9.6640625" bestFit="1" customWidth="1"/>
  </cols>
  <sheetData>
    <row r="1" spans="1:12" x14ac:dyDescent="0.2">
      <c r="E1" s="45" t="s">
        <v>50</v>
      </c>
      <c r="F1" s="45"/>
      <c r="G1" s="45"/>
    </row>
    <row r="2" spans="1:12" x14ac:dyDescent="0.2">
      <c r="A2" t="s">
        <v>4</v>
      </c>
      <c r="C2" t="s">
        <v>53</v>
      </c>
      <c r="D2" t="s">
        <v>54</v>
      </c>
      <c r="E2" t="s">
        <v>33</v>
      </c>
      <c r="K2" s="11">
        <v>42837</v>
      </c>
      <c r="L2" s="12" t="s">
        <v>7</v>
      </c>
    </row>
    <row r="3" spans="1:12" x14ac:dyDescent="0.2">
      <c r="B3" t="s">
        <v>38</v>
      </c>
      <c r="C3" t="s">
        <v>8</v>
      </c>
      <c r="D3" t="s">
        <v>9</v>
      </c>
      <c r="E3" t="s">
        <v>35</v>
      </c>
      <c r="F3" t="s">
        <v>36</v>
      </c>
      <c r="G3" t="s">
        <v>34</v>
      </c>
    </row>
    <row r="4" spans="1:12" x14ac:dyDescent="0.2">
      <c r="A4" s="15" t="s">
        <v>62</v>
      </c>
      <c r="B4" s="13" t="s">
        <v>15</v>
      </c>
      <c r="C4" s="13" t="s">
        <v>15</v>
      </c>
      <c r="D4" s="14" t="s">
        <v>15</v>
      </c>
      <c r="K4" s="29"/>
      <c r="L4" s="31" t="s">
        <v>40</v>
      </c>
    </row>
    <row r="5" spans="1:12" x14ac:dyDescent="0.2">
      <c r="A5" s="15" t="s">
        <v>10</v>
      </c>
      <c r="B5" s="33">
        <v>2</v>
      </c>
      <c r="C5" s="33">
        <v>1</v>
      </c>
      <c r="D5" s="34">
        <v>4</v>
      </c>
      <c r="E5" s="17">
        <v>1</v>
      </c>
      <c r="F5">
        <v>3</v>
      </c>
      <c r="K5" s="30"/>
      <c r="L5" s="31" t="s">
        <v>41</v>
      </c>
    </row>
    <row r="6" spans="1:12" x14ac:dyDescent="0.2">
      <c r="A6" s="15" t="s">
        <v>13</v>
      </c>
      <c r="B6" s="33">
        <v>30</v>
      </c>
      <c r="C6" s="33">
        <v>60</v>
      </c>
      <c r="D6" s="34">
        <v>15</v>
      </c>
      <c r="E6" s="17">
        <v>7</v>
      </c>
      <c r="F6">
        <v>85</v>
      </c>
      <c r="G6">
        <v>35</v>
      </c>
      <c r="K6" s="31"/>
      <c r="L6" s="31"/>
    </row>
    <row r="7" spans="1:12" x14ac:dyDescent="0.2">
      <c r="A7" s="16" t="s">
        <v>14</v>
      </c>
      <c r="B7" s="35">
        <f>B5*B6</f>
        <v>60</v>
      </c>
      <c r="C7" s="35">
        <f>C5*C6</f>
        <v>60</v>
      </c>
      <c r="D7" s="38">
        <f>D5*D6</f>
        <v>60</v>
      </c>
    </row>
    <row r="8" spans="1:12" x14ac:dyDescent="0.2">
      <c r="A8" s="16" t="s">
        <v>39</v>
      </c>
      <c r="B8" s="33">
        <v>60</v>
      </c>
      <c r="C8" s="33">
        <v>60</v>
      </c>
      <c r="D8" s="34">
        <v>60</v>
      </c>
      <c r="E8" s="50">
        <v>51</v>
      </c>
      <c r="F8" s="50">
        <v>55</v>
      </c>
      <c r="G8" s="50">
        <v>53</v>
      </c>
    </row>
    <row r="9" spans="1:12" x14ac:dyDescent="0.2">
      <c r="A9" s="16" t="s">
        <v>47</v>
      </c>
      <c r="B9" s="42">
        <f>IF(B8&lt;&gt;0,365/B8,0)</f>
        <v>6.083333333333333</v>
      </c>
      <c r="C9" s="42">
        <f>IF(C8&lt;&gt;0,365/C8,0)</f>
        <v>6.083333333333333</v>
      </c>
      <c r="D9" s="42">
        <f>IF(D8&lt;&gt;0,365/D8,0)</f>
        <v>6.083333333333333</v>
      </c>
    </row>
    <row r="10" spans="1:12" x14ac:dyDescent="0.2">
      <c r="A10" s="16" t="s">
        <v>45</v>
      </c>
      <c r="B10" s="38">
        <f>B7*B9</f>
        <v>365</v>
      </c>
      <c r="C10" s="38">
        <f>C7*C9</f>
        <v>365</v>
      </c>
      <c r="D10" s="38">
        <f>D7*D9</f>
        <v>365</v>
      </c>
    </row>
    <row r="11" spans="1:12" x14ac:dyDescent="0.2">
      <c r="A11" s="15" t="s">
        <v>56</v>
      </c>
      <c r="B11" s="27">
        <v>20000</v>
      </c>
      <c r="C11" s="27">
        <v>20000</v>
      </c>
      <c r="D11" s="27">
        <v>20000</v>
      </c>
      <c r="E11" s="20">
        <v>10000</v>
      </c>
      <c r="F11" s="21">
        <v>80000</v>
      </c>
      <c r="G11" s="21">
        <v>18000</v>
      </c>
    </row>
    <row r="12" spans="1:12" x14ac:dyDescent="0.2">
      <c r="A12" s="15" t="s">
        <v>52</v>
      </c>
      <c r="B12" s="28">
        <f>B11*B5</f>
        <v>40000</v>
      </c>
      <c r="C12" s="28">
        <f t="shared" ref="C12:D12" si="0">C11*C5</f>
        <v>20000</v>
      </c>
      <c r="D12" s="28">
        <f t="shared" si="0"/>
        <v>80000</v>
      </c>
      <c r="E12" s="20"/>
      <c r="F12" s="21"/>
      <c r="G12" s="21"/>
    </row>
    <row r="13" spans="1:12" x14ac:dyDescent="0.2">
      <c r="A13" s="15" t="s">
        <v>11</v>
      </c>
      <c r="B13" s="27">
        <v>35000</v>
      </c>
      <c r="C13" s="27">
        <v>25000</v>
      </c>
      <c r="D13" s="27">
        <v>45000</v>
      </c>
      <c r="E13" s="21">
        <v>0</v>
      </c>
      <c r="F13" s="21">
        <v>540000</v>
      </c>
      <c r="G13" s="21">
        <v>25000</v>
      </c>
      <c r="H13" s="48" t="s">
        <v>55</v>
      </c>
      <c r="I13" s="49"/>
      <c r="J13" s="49"/>
      <c r="K13" s="49"/>
    </row>
    <row r="14" spans="1:12" x14ac:dyDescent="0.2">
      <c r="A14" s="15" t="s">
        <v>42</v>
      </c>
      <c r="B14" s="28">
        <f>B12+B13</f>
        <v>75000</v>
      </c>
      <c r="C14" s="28">
        <f t="shared" ref="C14:D14" si="1">C12+C13</f>
        <v>45000</v>
      </c>
      <c r="D14" s="28">
        <f t="shared" si="1"/>
        <v>125000</v>
      </c>
      <c r="E14" s="21"/>
      <c r="F14" s="21"/>
      <c r="G14" s="21"/>
    </row>
    <row r="15" spans="1:12" x14ac:dyDescent="0.2">
      <c r="A15" s="16" t="s">
        <v>12</v>
      </c>
      <c r="B15" s="14">
        <v>20</v>
      </c>
      <c r="C15" s="14">
        <v>20</v>
      </c>
      <c r="D15" s="14">
        <v>20</v>
      </c>
      <c r="E15" s="17">
        <v>10</v>
      </c>
      <c r="F15">
        <v>20</v>
      </c>
    </row>
    <row r="16" spans="1:12" x14ac:dyDescent="0.2">
      <c r="A16" s="16" t="s">
        <v>32</v>
      </c>
      <c r="B16" s="26">
        <v>0.05</v>
      </c>
      <c r="C16" s="26">
        <v>0.05</v>
      </c>
      <c r="D16" s="26">
        <v>0.05</v>
      </c>
      <c r="E16" s="18">
        <v>0.02</v>
      </c>
      <c r="F16" s="18">
        <v>0.1</v>
      </c>
      <c r="G16" s="18">
        <v>0.05</v>
      </c>
    </row>
    <row r="17" spans="1:7" x14ac:dyDescent="0.2">
      <c r="A17" s="16" t="s">
        <v>43</v>
      </c>
      <c r="B17" s="39">
        <f>-IFERROR(PMT(B16,B15,B14),0)</f>
        <v>6018.1940393018485</v>
      </c>
      <c r="C17" s="39">
        <f>-IFERROR(PMT(C16,C15,C14),0)</f>
        <v>3610.9164235811095</v>
      </c>
      <c r="D17" s="39">
        <f>-IFERROR(PMT(D16,D15,D14),0)</f>
        <v>10030.323398836415</v>
      </c>
    </row>
    <row r="18" spans="1:7" x14ac:dyDescent="0.2">
      <c r="A18" s="32" t="s">
        <v>44</v>
      </c>
      <c r="B18" s="40">
        <f>IF(B10&lt;&gt;0,B17/B10,0)</f>
        <v>16.488202847402324</v>
      </c>
      <c r="C18" s="40">
        <f>IF(C10&lt;&gt;0,C17/C10,0)</f>
        <v>9.8929217084413956</v>
      </c>
      <c r="D18" s="40">
        <f>IF(D10&lt;&gt;0,D17/D10,0)</f>
        <v>27.480338079003879</v>
      </c>
    </row>
    <row r="20" spans="1:7" x14ac:dyDescent="0.2">
      <c r="A20" s="16" t="s">
        <v>51</v>
      </c>
      <c r="B20" s="37">
        <v>2000</v>
      </c>
      <c r="C20" s="37">
        <v>2000</v>
      </c>
      <c r="D20" s="37">
        <v>2000</v>
      </c>
      <c r="E20" s="22">
        <v>100</v>
      </c>
      <c r="F20" s="22">
        <v>30000</v>
      </c>
      <c r="G20" s="22">
        <v>2000</v>
      </c>
    </row>
    <row r="21" spans="1:7" x14ac:dyDescent="0.2">
      <c r="A21" s="16" t="s">
        <v>16</v>
      </c>
      <c r="B21" s="37">
        <v>500</v>
      </c>
      <c r="C21" s="37">
        <v>500</v>
      </c>
      <c r="D21" s="37">
        <v>500</v>
      </c>
      <c r="E21" s="22">
        <v>100</v>
      </c>
      <c r="F21" s="22">
        <v>1500</v>
      </c>
      <c r="G21" s="22">
        <v>600</v>
      </c>
    </row>
    <row r="22" spans="1:7" x14ac:dyDescent="0.2">
      <c r="A22" s="16" t="s">
        <v>57</v>
      </c>
      <c r="B22" s="47">
        <f t="shared" ref="B22:D22" si="2">IFERROR((B20*B5+B21)/B10,0)</f>
        <v>12.328767123287671</v>
      </c>
      <c r="C22" s="47">
        <f t="shared" si="2"/>
        <v>6.8493150684931505</v>
      </c>
      <c r="D22" s="47">
        <f t="shared" si="2"/>
        <v>23.287671232876711</v>
      </c>
      <c r="E22" s="22"/>
      <c r="F22" s="22"/>
      <c r="G22" s="22"/>
    </row>
    <row r="23" spans="1:7" x14ac:dyDescent="0.2">
      <c r="A23" s="16"/>
      <c r="B23" s="46"/>
      <c r="C23" s="46"/>
      <c r="D23" s="46"/>
      <c r="E23" s="22"/>
      <c r="F23" s="22"/>
      <c r="G23" s="22"/>
    </row>
    <row r="24" spans="1:7" x14ac:dyDescent="0.2">
      <c r="A24" s="15" t="s">
        <v>17</v>
      </c>
      <c r="B24" s="29">
        <v>0.2</v>
      </c>
      <c r="C24" s="29">
        <v>0.2</v>
      </c>
      <c r="D24" s="29">
        <v>0.2</v>
      </c>
      <c r="E24">
        <v>0.2</v>
      </c>
      <c r="F24">
        <v>10</v>
      </c>
      <c r="G24">
        <v>2</v>
      </c>
    </row>
    <row r="25" spans="1:7" x14ac:dyDescent="0.2">
      <c r="A25" s="15" t="s">
        <v>18</v>
      </c>
      <c r="B25" s="29">
        <v>90</v>
      </c>
      <c r="C25" s="29">
        <v>90</v>
      </c>
      <c r="D25" s="29">
        <v>90</v>
      </c>
      <c r="E25">
        <v>1</v>
      </c>
      <c r="F25">
        <v>240</v>
      </c>
      <c r="G25">
        <v>120</v>
      </c>
    </row>
    <row r="26" spans="1:7" x14ac:dyDescent="0.2">
      <c r="A26" s="15" t="s">
        <v>19</v>
      </c>
      <c r="B26" s="36">
        <v>20</v>
      </c>
      <c r="C26" s="36">
        <v>20</v>
      </c>
      <c r="D26" s="36">
        <v>20</v>
      </c>
      <c r="E26" s="20">
        <v>8</v>
      </c>
      <c r="F26" s="21">
        <v>25</v>
      </c>
      <c r="G26" s="21">
        <v>16</v>
      </c>
    </row>
    <row r="27" spans="1:7" x14ac:dyDescent="0.2">
      <c r="A27" s="15" t="s">
        <v>46</v>
      </c>
      <c r="B27" s="41">
        <f>(B24*365+B25)*B26</f>
        <v>3260</v>
      </c>
      <c r="C27" s="41">
        <f>(C24*365+C25)*C26</f>
        <v>3260</v>
      </c>
      <c r="D27" s="41">
        <f>(D24*365+D25)*D26</f>
        <v>3260</v>
      </c>
    </row>
    <row r="28" spans="1:7" x14ac:dyDescent="0.2">
      <c r="A28" s="32" t="s">
        <v>44</v>
      </c>
      <c r="B28" s="40">
        <f>IF(B10&lt;&gt;0,B27/B10,0)</f>
        <v>8.9315068493150687</v>
      </c>
      <c r="C28" s="40">
        <f>IF(C10&lt;&gt;0,C27/C10,0)</f>
        <v>8.9315068493150687</v>
      </c>
      <c r="D28" s="40">
        <f>IF(D10&lt;&gt;0,D27/D10,0)</f>
        <v>8.9315068493150687</v>
      </c>
    </row>
    <row r="29" spans="1:7" x14ac:dyDescent="0.2">
      <c r="A29" s="15" t="s">
        <v>58</v>
      </c>
      <c r="B29" s="40">
        <f>B18+B22+B28</f>
        <v>37.748476820005067</v>
      </c>
      <c r="C29" s="40">
        <f t="shared" ref="C29:D29" si="3">C18+C22+C28</f>
        <v>25.673743626249617</v>
      </c>
      <c r="D29" s="40">
        <f t="shared" si="3"/>
        <v>59.69951616119566</v>
      </c>
    </row>
    <row r="30" spans="1:7" x14ac:dyDescent="0.2">
      <c r="A30" s="24"/>
    </row>
    <row r="31" spans="1:7" x14ac:dyDescent="0.2">
      <c r="A31" s="25" t="s">
        <v>22</v>
      </c>
      <c r="B31" s="36">
        <v>140</v>
      </c>
      <c r="C31" s="36">
        <v>140</v>
      </c>
      <c r="D31" s="36">
        <v>140</v>
      </c>
      <c r="E31" s="23">
        <v>54</v>
      </c>
      <c r="F31" s="23">
        <v>240</v>
      </c>
      <c r="G31" s="23">
        <v>140</v>
      </c>
    </row>
    <row r="32" spans="1:7" x14ac:dyDescent="0.2">
      <c r="A32" s="25" t="s">
        <v>23</v>
      </c>
      <c r="B32" s="36">
        <v>10</v>
      </c>
      <c r="C32" s="36">
        <v>12</v>
      </c>
      <c r="D32" s="36">
        <v>8</v>
      </c>
      <c r="E32" s="23">
        <v>0.98040000000000005</v>
      </c>
      <c r="F32" s="23">
        <v>15</v>
      </c>
      <c r="G32" s="23">
        <v>10</v>
      </c>
    </row>
    <row r="33" spans="1:7" x14ac:dyDescent="0.2">
      <c r="A33" s="25" t="s">
        <v>24</v>
      </c>
      <c r="B33" s="36">
        <v>10</v>
      </c>
      <c r="C33" s="36">
        <v>10</v>
      </c>
      <c r="D33" s="36">
        <v>10</v>
      </c>
      <c r="E33" s="23">
        <v>0.57140000000000002</v>
      </c>
      <c r="F33" s="23">
        <v>55</v>
      </c>
      <c r="G33" s="23">
        <v>10</v>
      </c>
    </row>
    <row r="34" spans="1:7" x14ac:dyDescent="0.2">
      <c r="A34" s="25" t="s">
        <v>25</v>
      </c>
      <c r="B34" s="36">
        <v>2.4</v>
      </c>
      <c r="C34" s="36">
        <v>2.4</v>
      </c>
      <c r="D34" s="36">
        <v>2.4</v>
      </c>
      <c r="E34" s="23">
        <v>0.22919999999999999</v>
      </c>
      <c r="F34" s="23">
        <v>4.2105263157894735</v>
      </c>
      <c r="G34" s="23">
        <v>2.4</v>
      </c>
    </row>
    <row r="35" spans="1:7" x14ac:dyDescent="0.2">
      <c r="A35" s="25" t="s">
        <v>26</v>
      </c>
      <c r="B35" s="36">
        <v>60</v>
      </c>
      <c r="C35" s="36">
        <v>60</v>
      </c>
      <c r="D35" s="36">
        <v>60</v>
      </c>
      <c r="E35" s="23">
        <v>1.15E-2</v>
      </c>
      <c r="F35" s="23">
        <v>524.2166666666667</v>
      </c>
      <c r="G35" s="23">
        <v>60</v>
      </c>
    </row>
    <row r="36" spans="1:7" x14ac:dyDescent="0.2">
      <c r="A36" s="25" t="s">
        <v>27</v>
      </c>
      <c r="B36" s="36">
        <v>30</v>
      </c>
      <c r="C36" s="36">
        <v>30</v>
      </c>
      <c r="D36" s="36">
        <v>30</v>
      </c>
      <c r="E36" s="23">
        <v>1.5</v>
      </c>
      <c r="F36" s="23">
        <v>235.29411764705881</v>
      </c>
      <c r="G36" s="23">
        <v>30</v>
      </c>
    </row>
    <row r="37" spans="1:7" x14ac:dyDescent="0.2">
      <c r="A37" s="25" t="s">
        <v>28</v>
      </c>
      <c r="B37" s="36">
        <v>50</v>
      </c>
      <c r="C37" s="36">
        <v>50</v>
      </c>
      <c r="D37" s="36">
        <v>50</v>
      </c>
      <c r="E37" s="23">
        <v>1.6667000000000001</v>
      </c>
      <c r="F37" s="23">
        <v>121.66666666666667</v>
      </c>
      <c r="G37" s="23">
        <v>50</v>
      </c>
    </row>
    <row r="38" spans="1:7" x14ac:dyDescent="0.2">
      <c r="A38" s="25" t="s">
        <v>29</v>
      </c>
      <c r="B38" s="36">
        <v>10</v>
      </c>
      <c r="C38" s="36">
        <v>10</v>
      </c>
      <c r="D38" s="36">
        <v>10</v>
      </c>
      <c r="E38" s="23">
        <v>8.0000000000000004E-4</v>
      </c>
      <c r="F38" s="23">
        <v>60.833333333333336</v>
      </c>
      <c r="G38" s="23">
        <v>10</v>
      </c>
    </row>
    <row r="39" spans="1:7" x14ac:dyDescent="0.2">
      <c r="A39" s="25" t="s">
        <v>30</v>
      </c>
      <c r="B39" s="36">
        <v>90</v>
      </c>
      <c r="C39" s="36">
        <v>90</v>
      </c>
      <c r="D39" s="36">
        <v>90</v>
      </c>
      <c r="E39" s="23">
        <v>0.3846</v>
      </c>
      <c r="F39" s="23">
        <v>304.16666666666669</v>
      </c>
      <c r="G39" s="23">
        <v>90</v>
      </c>
    </row>
    <row r="40" spans="1:7" x14ac:dyDescent="0.2">
      <c r="A40" s="25" t="s">
        <v>31</v>
      </c>
      <c r="B40" s="19">
        <f>SUM(B31:B39)</f>
        <v>402.4</v>
      </c>
      <c r="C40" s="19">
        <f>SUM(C31:C39)</f>
        <v>404.4</v>
      </c>
      <c r="D40" s="19">
        <f>SUM(D31:D39)</f>
        <v>400.4</v>
      </c>
      <c r="E40" s="21">
        <f t="shared" ref="E40:F40" si="4">SUM(E31:E39)</f>
        <v>59.344599999999993</v>
      </c>
      <c r="F40" s="21">
        <f t="shared" si="4"/>
        <v>1560.3879772961818</v>
      </c>
      <c r="G40" s="21">
        <f>SUM(G31:G39)</f>
        <v>402.4</v>
      </c>
    </row>
    <row r="41" spans="1:7" x14ac:dyDescent="0.2">
      <c r="A41" s="43" t="s">
        <v>48</v>
      </c>
      <c r="B41" s="19">
        <f>B29+B40</f>
        <v>440.14847682000504</v>
      </c>
      <c r="C41" s="19">
        <f>C29+C40</f>
        <v>430.07374362624961</v>
      </c>
      <c r="D41" s="19">
        <f>D29+D40</f>
        <v>460.09951616119565</v>
      </c>
    </row>
    <row r="43" spans="1:7" x14ac:dyDescent="0.2">
      <c r="A43" s="24" t="s">
        <v>20</v>
      </c>
      <c r="B43" s="36">
        <v>100</v>
      </c>
      <c r="C43" s="36">
        <v>100</v>
      </c>
      <c r="D43" s="36">
        <v>100</v>
      </c>
      <c r="E43" s="21">
        <v>80</v>
      </c>
      <c r="F43" s="21">
        <v>300</v>
      </c>
      <c r="G43" s="21">
        <v>175</v>
      </c>
    </row>
    <row r="44" spans="1:7" x14ac:dyDescent="0.2">
      <c r="A44" s="43" t="s">
        <v>49</v>
      </c>
      <c r="B44" s="19">
        <f>B41+B43</f>
        <v>540.14847682000504</v>
      </c>
      <c r="C44" s="19">
        <f>C41+C43</f>
        <v>530.07374362624955</v>
      </c>
      <c r="D44" s="19">
        <f>D41+D43</f>
        <v>560.09951616119565</v>
      </c>
    </row>
    <row r="46" spans="1:7" x14ac:dyDescent="0.2">
      <c r="A46" s="24" t="s">
        <v>21</v>
      </c>
      <c r="B46" s="44">
        <v>2.5000000000000001E-2</v>
      </c>
      <c r="C46" s="44">
        <v>0.05</v>
      </c>
      <c r="D46" s="44">
        <v>0.02</v>
      </c>
      <c r="E46" s="18">
        <v>0.01</v>
      </c>
      <c r="F46" s="18">
        <v>7.0000000000000007E-2</v>
      </c>
      <c r="G46" s="18">
        <v>0.03</v>
      </c>
    </row>
    <row r="48" spans="1:7" x14ac:dyDescent="0.2">
      <c r="A48" s="24" t="s">
        <v>37</v>
      </c>
      <c r="B48" s="40">
        <f>B44/(1-B46)</f>
        <v>553.99843776410773</v>
      </c>
      <c r="C48" s="40">
        <f>C44/(1-C46)</f>
        <v>557.9723617118417</v>
      </c>
      <c r="D48" s="40">
        <f>D44/(1-D46)</f>
        <v>571.53011853183227</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9"/>
  <sheetViews>
    <sheetView workbookViewId="0">
      <selection activeCell="B9" sqref="B9"/>
    </sheetView>
  </sheetViews>
  <sheetFormatPr baseColWidth="10" defaultColWidth="8.83203125" defaultRowHeight="15" x14ac:dyDescent="0.2"/>
  <cols>
    <col min="1" max="1" width="43.5" customWidth="1"/>
    <col min="2" max="2" width="19.33203125" customWidth="1"/>
    <col min="3" max="4" width="15.5" customWidth="1"/>
  </cols>
  <sheetData>
    <row r="1" spans="1:4" x14ac:dyDescent="0.2">
      <c r="A1" t="s">
        <v>59</v>
      </c>
    </row>
    <row r="3" spans="1:4" x14ac:dyDescent="0.2">
      <c r="B3" t="str">
        <f>'Data Entry'!B3</f>
        <v>Example scenario</v>
      </c>
      <c r="C3" t="str">
        <f>'Data Entry'!C3</f>
        <v>Alternative 1</v>
      </c>
      <c r="D3" t="str">
        <f>'Data Entry'!D3</f>
        <v>Alternative 2</v>
      </c>
    </row>
    <row r="4" spans="1:4" x14ac:dyDescent="0.2">
      <c r="A4" t="s">
        <v>61</v>
      </c>
      <c r="B4" s="19">
        <f>'Data Entry'!B18</f>
        <v>16.488202847402324</v>
      </c>
      <c r="C4" s="19">
        <f>'Data Entry'!C18</f>
        <v>9.8929217084413956</v>
      </c>
      <c r="D4" s="19">
        <f>'Data Entry'!D18</f>
        <v>27.480338079003879</v>
      </c>
    </row>
    <row r="5" spans="1:4" x14ac:dyDescent="0.2">
      <c r="A5" s="16" t="s">
        <v>57</v>
      </c>
      <c r="B5" s="19">
        <f>'Data Entry'!B22</f>
        <v>12.328767123287671</v>
      </c>
      <c r="C5" s="19">
        <f>'Data Entry'!C22</f>
        <v>6.8493150684931505</v>
      </c>
      <c r="D5" s="19">
        <f>'Data Entry'!D22</f>
        <v>23.287671232876711</v>
      </c>
    </row>
    <row r="6" spans="1:4" x14ac:dyDescent="0.2">
      <c r="A6" s="15" t="s">
        <v>60</v>
      </c>
      <c r="B6" s="19">
        <f>'Data Entry'!B28</f>
        <v>8.9315068493150687</v>
      </c>
      <c r="C6" s="19">
        <f>'Data Entry'!C28</f>
        <v>8.9315068493150687</v>
      </c>
      <c r="D6" s="19">
        <f>'Data Entry'!D28</f>
        <v>8.9315068493150687</v>
      </c>
    </row>
    <row r="7" spans="1:4" x14ac:dyDescent="0.2">
      <c r="A7" s="51" t="s">
        <v>31</v>
      </c>
      <c r="B7" s="19">
        <f>'Data Entry'!B40</f>
        <v>402.4</v>
      </c>
      <c r="C7" s="19">
        <f>'Data Entry'!C40</f>
        <v>404.4</v>
      </c>
      <c r="D7" s="19">
        <f>'Data Entry'!D40</f>
        <v>400.4</v>
      </c>
    </row>
    <row r="8" spans="1:4" x14ac:dyDescent="0.2">
      <c r="A8" s="24" t="s">
        <v>20</v>
      </c>
      <c r="B8" s="19">
        <f>'Data Entry'!B43</f>
        <v>100</v>
      </c>
      <c r="C8" s="19">
        <f>'Data Entry'!C43</f>
        <v>100</v>
      </c>
      <c r="D8" s="19">
        <f>'Data Entry'!D43</f>
        <v>100</v>
      </c>
    </row>
    <row r="9" spans="1:4" x14ac:dyDescent="0.2">
      <c r="A9" s="43" t="s">
        <v>49</v>
      </c>
      <c r="B9" s="19">
        <f>SUM(B4:B8)</f>
        <v>540.14847682000504</v>
      </c>
      <c r="C9" s="19">
        <f t="shared" ref="C9:D9" si="0">SUM(C4:C8)</f>
        <v>530.07374362624955</v>
      </c>
      <c r="D9" s="19">
        <f t="shared" si="0"/>
        <v>560.09951616119565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About</vt:lpstr>
      <vt:lpstr>Data Entry</vt:lpstr>
      <vt:lpstr>Charts</vt:lpstr>
    </vt:vector>
  </TitlesOfParts>
  <Company>University of Minnesota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WFL</dc:creator>
  <cp:lastModifiedBy>Microsoft Office User</cp:lastModifiedBy>
  <dcterms:created xsi:type="dcterms:W3CDTF">2016-11-01T16:31:40Z</dcterms:created>
  <dcterms:modified xsi:type="dcterms:W3CDTF">2017-04-18T16:56:20Z</dcterms:modified>
</cp:coreProperties>
</file>