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a_xls\Management\dairy\"/>
    </mc:Choice>
  </mc:AlternateContent>
  <bookViews>
    <workbookView xWindow="0" yWindow="0" windowWidth="19200" windowHeight="11280"/>
  </bookViews>
  <sheets>
    <sheet name="Data_as_is" sheetId="4" r:id="rId1"/>
    <sheet name="Data_avgs_for_missing" sheetId="1" r:id="rId2"/>
    <sheet name="Budget" sheetId="3" r:id="rId3"/>
    <sheet name="Transposed" sheetId="5" r:id="rId4"/>
  </sheets>
  <functionGroups builtInGroupCount="18"/>
  <calcPr calcId="162913"/>
</workbook>
</file>

<file path=xl/calcChain.xml><?xml version="1.0" encoding="utf-8"?>
<calcChain xmlns="http://schemas.openxmlformats.org/spreadsheetml/2006/main">
  <c r="BB6" i="4" l="1"/>
  <c r="BA6" i="4"/>
  <c r="AZ6" i="4"/>
  <c r="AY6" i="4"/>
  <c r="AX6" i="4"/>
  <c r="BC38" i="4" l="1"/>
  <c r="BC37" i="4"/>
  <c r="BB38" i="4"/>
  <c r="BB37" i="4"/>
  <c r="BB36" i="4"/>
  <c r="BC30" i="4" l="1"/>
  <c r="BC33" i="4"/>
  <c r="BC32" i="4"/>
  <c r="BB65" i="4"/>
  <c r="BA65" i="4"/>
  <c r="AY65" i="4"/>
  <c r="AX65" i="4"/>
  <c r="AZ65" i="4" s="1"/>
  <c r="BB14" i="4"/>
  <c r="BA14" i="4"/>
  <c r="AY14" i="4"/>
  <c r="AX14" i="4"/>
  <c r="AZ14" i="4" s="1"/>
  <c r="BB13" i="4"/>
  <c r="BA13" i="4"/>
  <c r="AY13" i="4"/>
  <c r="AX13" i="4"/>
  <c r="AZ13" i="4" s="1"/>
  <c r="AT67" i="4"/>
  <c r="AS67" i="4"/>
  <c r="AR67" i="4"/>
  <c r="AP67" i="4"/>
  <c r="AO67" i="4"/>
  <c r="AN67" i="4"/>
  <c r="AM67" i="4"/>
  <c r="AJ67" i="4"/>
  <c r="AI67" i="4"/>
  <c r="AH67" i="4"/>
  <c r="AG67" i="4"/>
  <c r="AF67" i="4"/>
  <c r="AE67" i="4"/>
  <c r="AD67" i="4"/>
  <c r="AC67" i="4"/>
  <c r="AB67" i="4"/>
  <c r="AA67" i="4"/>
  <c r="Z67" i="4"/>
  <c r="Y67" i="4"/>
  <c r="X67" i="4"/>
  <c r="U67" i="4"/>
  <c r="T67" i="4"/>
  <c r="S67" i="4"/>
  <c r="R67" i="4"/>
  <c r="Q67" i="4"/>
  <c r="P67" i="4"/>
  <c r="O67" i="4"/>
  <c r="N67" i="4"/>
  <c r="M67" i="4"/>
  <c r="L67" i="4"/>
  <c r="K67" i="4"/>
  <c r="J67" i="4"/>
  <c r="I67" i="4"/>
  <c r="H67" i="4"/>
  <c r="G67" i="4"/>
  <c r="E67" i="4"/>
  <c r="D67" i="4"/>
  <c r="C67" i="4"/>
  <c r="AY21" i="4"/>
  <c r="AX21" i="4"/>
  <c r="AZ21" i="4" s="1"/>
  <c r="BB25" i="4"/>
  <c r="BA25" i="4"/>
  <c r="BB20" i="4"/>
  <c r="BA20" i="4"/>
  <c r="AX20" i="4"/>
  <c r="AZ20" i="4" s="1"/>
  <c r="AY20" i="4"/>
  <c r="BB59" i="4"/>
  <c r="BB55" i="4"/>
  <c r="BB62" i="4"/>
  <c r="BB61" i="4"/>
  <c r="BB60" i="4"/>
  <c r="BB56" i="4"/>
  <c r="BB58" i="4"/>
  <c r="BB54" i="4"/>
  <c r="BB57" i="4"/>
  <c r="BB34" i="4"/>
  <c r="BB32" i="4"/>
  <c r="BB33" i="4"/>
  <c r="BB30" i="4"/>
  <c r="BB29" i="4"/>
  <c r="AY38" i="4" l="1"/>
  <c r="AX38" i="4"/>
  <c r="AY37" i="4"/>
  <c r="AX37" i="4"/>
  <c r="AZ37" i="4" s="1"/>
  <c r="AY33" i="4"/>
  <c r="AX33" i="4"/>
  <c r="AY32" i="4"/>
  <c r="AX32" i="4"/>
  <c r="AY30" i="4"/>
  <c r="AX30" i="4"/>
  <c r="AY27" i="4"/>
  <c r="AX27" i="4"/>
  <c r="AY26" i="4"/>
  <c r="AX26" i="4"/>
  <c r="AH48" i="4"/>
  <c r="AH45" i="4"/>
  <c r="AH40" i="4"/>
  <c r="AT6" i="4"/>
  <c r="AS6" i="4"/>
  <c r="AR6" i="4"/>
  <c r="AP6" i="4"/>
  <c r="AO6" i="4"/>
  <c r="AN6" i="4"/>
  <c r="AM6" i="4"/>
  <c r="AL6" i="4"/>
  <c r="AB6" i="4"/>
  <c r="AB6" i="1" s="1"/>
  <c r="AQ6" i="4"/>
  <c r="AA6" i="4"/>
  <c r="W6" i="4"/>
  <c r="V6" i="4"/>
  <c r="AK6" i="4"/>
  <c r="AJ6" i="4"/>
  <c r="O6" i="4"/>
  <c r="G6" i="4"/>
  <c r="F6" i="4"/>
  <c r="AJ6" i="1" s="1"/>
  <c r="AI6" i="4"/>
  <c r="AI6" i="1" s="1"/>
  <c r="AG6" i="4"/>
  <c r="AF6" i="4"/>
  <c r="AE6" i="4"/>
  <c r="AD6" i="4"/>
  <c r="AD6" i="1" s="1"/>
  <c r="AC6" i="4"/>
  <c r="Z6" i="4"/>
  <c r="Z6" i="1" s="1"/>
  <c r="Y6" i="4"/>
  <c r="X6" i="4"/>
  <c r="U6" i="4"/>
  <c r="U6" i="1" s="1"/>
  <c r="T6" i="4"/>
  <c r="T6" i="1" s="1"/>
  <c r="S6" i="4"/>
  <c r="S6" i="1" s="1"/>
  <c r="R6" i="4"/>
  <c r="Q6" i="4"/>
  <c r="P6" i="4"/>
  <c r="N6" i="4"/>
  <c r="N6" i="1" s="1"/>
  <c r="M6" i="4"/>
  <c r="M6" i="1" s="1"/>
  <c r="L6" i="4"/>
  <c r="L6" i="1" s="1"/>
  <c r="K6" i="4"/>
  <c r="K6" i="1" s="1"/>
  <c r="J6" i="4"/>
  <c r="J6" i="1" s="1"/>
  <c r="I6" i="4"/>
  <c r="I6" i="1" s="1"/>
  <c r="H6" i="4"/>
  <c r="H6" i="1" s="1"/>
  <c r="E6" i="4"/>
  <c r="E6" i="1" s="1"/>
  <c r="D6" i="4"/>
  <c r="D6" i="1" s="1"/>
  <c r="AM47" i="1"/>
  <c r="AM46" i="1"/>
  <c r="AM44" i="1"/>
  <c r="AM43" i="1"/>
  <c r="AM42" i="1"/>
  <c r="AM41" i="1"/>
  <c r="AL47" i="1"/>
  <c r="AL46" i="1"/>
  <c r="AL44" i="1"/>
  <c r="AL43" i="1"/>
  <c r="AL41" i="1"/>
  <c r="AJ47" i="1"/>
  <c r="AJ46" i="1"/>
  <c r="AJ44" i="1"/>
  <c r="AJ43" i="1"/>
  <c r="AJ42" i="1"/>
  <c r="AH47" i="1"/>
  <c r="AG47" i="1"/>
  <c r="AH46" i="1"/>
  <c r="AH45" i="1"/>
  <c r="AH42" i="1"/>
  <c r="AH40" i="1"/>
  <c r="AD47" i="1"/>
  <c r="AD44" i="1"/>
  <c r="AD42" i="1"/>
  <c r="AD41" i="1"/>
  <c r="AD40" i="1"/>
  <c r="AB47" i="1"/>
  <c r="AB44" i="1"/>
  <c r="AB42" i="1"/>
  <c r="AB41" i="1"/>
  <c r="AB40" i="1"/>
  <c r="AA42" i="1"/>
  <c r="AA41" i="1"/>
  <c r="W41" i="1"/>
  <c r="V42" i="1"/>
  <c r="V41" i="1"/>
  <c r="Q42" i="1"/>
  <c r="Q41" i="1"/>
  <c r="H47" i="1"/>
  <c r="H43" i="1"/>
  <c r="H41" i="1"/>
  <c r="G47" i="1"/>
  <c r="G43" i="1"/>
  <c r="G41" i="1"/>
  <c r="F48" i="1"/>
  <c r="F47" i="1"/>
  <c r="F46" i="1"/>
  <c r="F43" i="1"/>
  <c r="F41" i="1"/>
  <c r="D48" i="1"/>
  <c r="D47" i="1"/>
  <c r="D46" i="1"/>
  <c r="D45" i="1"/>
  <c r="D44" i="1"/>
  <c r="D43" i="1"/>
  <c r="D42" i="1"/>
  <c r="D41" i="1"/>
  <c r="D40" i="1"/>
  <c r="C48" i="1"/>
  <c r="C47" i="1"/>
  <c r="C46" i="1"/>
  <c r="C45" i="1"/>
  <c r="C44" i="1"/>
  <c r="C43" i="1"/>
  <c r="C42" i="1"/>
  <c r="C41" i="1"/>
  <c r="C40" i="1"/>
  <c r="AH8" i="4"/>
  <c r="C8" i="4"/>
  <c r="C50" i="4" s="1"/>
  <c r="C50" i="1" s="1"/>
  <c r="AH7" i="1"/>
  <c r="G6" i="1"/>
  <c r="C7" i="1"/>
  <c r="C6" i="1"/>
  <c r="AS6" i="1" l="1"/>
  <c r="AK6" i="1"/>
  <c r="AT6" i="1"/>
  <c r="O6" i="1"/>
  <c r="AA6" i="1"/>
  <c r="AP6" i="1"/>
  <c r="F6" i="1"/>
  <c r="AC6" i="1"/>
  <c r="AL6" i="1"/>
  <c r="AR6" i="1"/>
  <c r="AQ6" i="1"/>
  <c r="C51" i="4"/>
  <c r="C51" i="1" s="1"/>
  <c r="AZ33" i="4"/>
  <c r="AZ26" i="4"/>
  <c r="AO26" i="1" s="1"/>
  <c r="AE6" i="1"/>
  <c r="AN6" i="1"/>
  <c r="AG6" i="1"/>
  <c r="AO6" i="1"/>
  <c r="Q6" i="1"/>
  <c r="Y6" i="1"/>
  <c r="R6" i="1"/>
  <c r="W6" i="1"/>
  <c r="P6" i="1"/>
  <c r="AH6" i="1"/>
  <c r="V6" i="1"/>
  <c r="AM6" i="1"/>
  <c r="AF6" i="1"/>
  <c r="X6" i="1"/>
  <c r="AZ30" i="4"/>
  <c r="AO30" i="1" s="1"/>
  <c r="AZ38" i="4"/>
  <c r="AO38" i="1" s="1"/>
  <c r="AZ27" i="4"/>
  <c r="AZ32" i="4"/>
  <c r="BA32" i="4" s="1"/>
  <c r="AO37" i="1"/>
  <c r="AN37" i="1"/>
  <c r="AR31" i="1"/>
  <c r="AR19" i="1"/>
  <c r="AQ48" i="4"/>
  <c r="AR48" i="1" s="1"/>
  <c r="AQ47" i="4"/>
  <c r="AR47" i="1" s="1"/>
  <c r="AQ46" i="4"/>
  <c r="AR46" i="1" s="1"/>
  <c r="AQ45" i="4"/>
  <c r="AR45" i="1" s="1"/>
  <c r="AQ44" i="4"/>
  <c r="AR44" i="1" s="1"/>
  <c r="AQ43" i="4"/>
  <c r="AR43" i="1" s="1"/>
  <c r="AQ42" i="4"/>
  <c r="AR42" i="1" s="1"/>
  <c r="AQ41" i="4"/>
  <c r="AR41" i="1" s="1"/>
  <c r="AQ40" i="4"/>
  <c r="AR40" i="1" s="1"/>
  <c r="AQ31" i="4"/>
  <c r="AQ19" i="4"/>
  <c r="BG64" i="3"/>
  <c r="BG63" i="3"/>
  <c r="BG61" i="3"/>
  <c r="BG60" i="3"/>
  <c r="BG59" i="3"/>
  <c r="BG58" i="3"/>
  <c r="BG57" i="3"/>
  <c r="BG56" i="3"/>
  <c r="BG55" i="3"/>
  <c r="BG54" i="3"/>
  <c r="BG53" i="3"/>
  <c r="BG52" i="3"/>
  <c r="BG51" i="3"/>
  <c r="BG50" i="3"/>
  <c r="BF64" i="3"/>
  <c r="BF63" i="3"/>
  <c r="BF61" i="3"/>
  <c r="BF60" i="3"/>
  <c r="BF59" i="3"/>
  <c r="BF58" i="3"/>
  <c r="BF57" i="3"/>
  <c r="BF56" i="3"/>
  <c r="BF55" i="3"/>
  <c r="BF54" i="3"/>
  <c r="BF53" i="3"/>
  <c r="BF52" i="3"/>
  <c r="BF51" i="3"/>
  <c r="BF50" i="3"/>
  <c r="BC72" i="4" a="1"/>
  <c r="BC74" i="4" s="1"/>
  <c r="AM31" i="1"/>
  <c r="AM21" i="1"/>
  <c r="AK52" i="1"/>
  <c r="AK51" i="1"/>
  <c r="AK50" i="1"/>
  <c r="AK49" i="1"/>
  <c r="AI34" i="1"/>
  <c r="AS31" i="1"/>
  <c r="AQ31" i="1"/>
  <c r="AL31" i="1"/>
  <c r="AK31" i="1"/>
  <c r="AJ31" i="1"/>
  <c r="AS21" i="1"/>
  <c r="AS19" i="1" s="1"/>
  <c r="AL21" i="1"/>
  <c r="AQ19" i="1"/>
  <c r="AP19" i="1"/>
  <c r="AO19" i="1"/>
  <c r="AK19" i="1"/>
  <c r="AJ19" i="1"/>
  <c r="AI19" i="1"/>
  <c r="AI12" i="1"/>
  <c r="AY25" i="4"/>
  <c r="AX25" i="4"/>
  <c r="BF20" i="4"/>
  <c r="BE20" i="4"/>
  <c r="BF19" i="4"/>
  <c r="BF18" i="4"/>
  <c r="AQ55" i="4" l="1"/>
  <c r="AQ56" i="4"/>
  <c r="AQ54" i="4"/>
  <c r="AQ57" i="4"/>
  <c r="AQ62" i="4"/>
  <c r="AQ61" i="4"/>
  <c r="AQ50" i="4"/>
  <c r="AR50" i="1" s="1"/>
  <c r="AQ52" i="4"/>
  <c r="AR52" i="1" s="1"/>
  <c r="AQ49" i="4"/>
  <c r="AR49" i="1" s="1"/>
  <c r="AQ58" i="4"/>
  <c r="AQ59" i="4"/>
  <c r="AQ51" i="4"/>
  <c r="AR51" i="1" s="1"/>
  <c r="AQ60" i="4"/>
  <c r="AN32" i="1"/>
  <c r="AO32" i="1"/>
  <c r="AP26" i="1"/>
  <c r="AN26" i="1"/>
  <c r="AP30" i="1"/>
  <c r="AN38" i="1"/>
  <c r="BC105" i="4"/>
  <c r="BC89" i="4"/>
  <c r="BC73" i="4"/>
  <c r="BC104" i="4"/>
  <c r="BC88" i="4"/>
  <c r="BC72" i="4"/>
  <c r="BC111" i="4"/>
  <c r="BC103" i="4"/>
  <c r="BC95" i="4"/>
  <c r="BC79" i="4"/>
  <c r="BC110" i="4"/>
  <c r="BC102" i="4"/>
  <c r="BC94" i="4"/>
  <c r="BC86" i="4"/>
  <c r="BC78" i="4"/>
  <c r="BC113" i="4"/>
  <c r="BC97" i="4"/>
  <c r="BC81" i="4"/>
  <c r="BC112" i="4"/>
  <c r="BC96" i="4"/>
  <c r="BC80" i="4"/>
  <c r="BC87" i="4"/>
  <c r="BC109" i="4"/>
  <c r="BC101" i="4"/>
  <c r="BC93" i="4"/>
  <c r="BC85" i="4"/>
  <c r="BC77" i="4"/>
  <c r="BC108" i="4"/>
  <c r="BC100" i="4"/>
  <c r="BC92" i="4"/>
  <c r="BC84" i="4"/>
  <c r="BC76" i="4"/>
  <c r="BC107" i="4"/>
  <c r="BC99" i="4"/>
  <c r="BC91" i="4"/>
  <c r="BC83" i="4"/>
  <c r="BC75" i="4"/>
  <c r="BC106" i="4"/>
  <c r="BC98" i="4"/>
  <c r="BC90" i="4"/>
  <c r="BC82" i="4"/>
  <c r="AB62" i="4"/>
  <c r="AB61" i="4"/>
  <c r="AB60" i="4"/>
  <c r="AB59" i="4"/>
  <c r="AB58" i="4"/>
  <c r="AB57" i="4"/>
  <c r="AB55" i="4"/>
  <c r="AB54" i="4"/>
  <c r="AB42" i="4"/>
  <c r="AB31" i="4"/>
  <c r="AB21" i="4"/>
  <c r="AB19" i="4" s="1"/>
  <c r="AA48" i="4"/>
  <c r="AA47" i="4"/>
  <c r="AQ47" i="1" s="1"/>
  <c r="AA46" i="4"/>
  <c r="AQ46" i="1" s="1"/>
  <c r="AA45" i="4"/>
  <c r="AQ45" i="1" s="1"/>
  <c r="AA44" i="4"/>
  <c r="AA43" i="4"/>
  <c r="AA42" i="4"/>
  <c r="AA41" i="4"/>
  <c r="AA40" i="4"/>
  <c r="AA31" i="4"/>
  <c r="AA19" i="4"/>
  <c r="W19" i="4"/>
  <c r="V19" i="4"/>
  <c r="AT45" i="4"/>
  <c r="AT56" i="4"/>
  <c r="AT55" i="4"/>
  <c r="AT40" i="4"/>
  <c r="AT31" i="4"/>
  <c r="AT21" i="4"/>
  <c r="AT62" i="4"/>
  <c r="AJ62" i="4"/>
  <c r="AT61" i="4"/>
  <c r="AI61" i="1" s="1"/>
  <c r="AJ61" i="4"/>
  <c r="AT60" i="4"/>
  <c r="AJ60" i="4"/>
  <c r="AT58" i="4"/>
  <c r="AI58" i="1" s="1"/>
  <c r="AJ58" i="4"/>
  <c r="AT57" i="4"/>
  <c r="AI57" i="1" s="1"/>
  <c r="AJ57" i="4"/>
  <c r="AT51" i="4"/>
  <c r="AM51" i="1" s="1"/>
  <c r="AT50" i="4"/>
  <c r="AM50" i="1" s="1"/>
  <c r="AJ45" i="4"/>
  <c r="AJ50" i="4"/>
  <c r="AL50" i="1" s="1"/>
  <c r="AJ40" i="4"/>
  <c r="AJ31" i="4"/>
  <c r="AJ21" i="4"/>
  <c r="AQ63" i="4" l="1"/>
  <c r="AJ49" i="4"/>
  <c r="AL49" i="1" s="1"/>
  <c r="AL40" i="1"/>
  <c r="AB56" i="4"/>
  <c r="AB63" i="4" s="1"/>
  <c r="AS42" i="1"/>
  <c r="AA62" i="4"/>
  <c r="AQ48" i="1"/>
  <c r="AJ59" i="4"/>
  <c r="AL45" i="1"/>
  <c r="AA55" i="4"/>
  <c r="AQ41" i="1"/>
  <c r="AA52" i="4"/>
  <c r="AQ52" i="1" s="1"/>
  <c r="AA56" i="4"/>
  <c r="AQ42" i="1"/>
  <c r="AA59" i="4"/>
  <c r="AT54" i="4"/>
  <c r="AI54" i="1" s="1"/>
  <c r="AM40" i="1"/>
  <c r="AA49" i="4"/>
  <c r="AQ49" i="1" s="1"/>
  <c r="AQ40" i="1"/>
  <c r="AT59" i="4"/>
  <c r="AI59" i="1" s="1"/>
  <c r="AM45" i="1"/>
  <c r="AA57" i="4"/>
  <c r="AQ43" i="1"/>
  <c r="AA60" i="4"/>
  <c r="AA58" i="4"/>
  <c r="AQ44" i="1"/>
  <c r="AA61" i="4"/>
  <c r="AA50" i="4"/>
  <c r="AQ50" i="1" s="1"/>
  <c r="AJ52" i="4"/>
  <c r="AL52" i="1" s="1"/>
  <c r="AA51" i="4"/>
  <c r="AQ51" i="1" s="1"/>
  <c r="AT52" i="4"/>
  <c r="AM52" i="1" s="1"/>
  <c r="AJ54" i="4"/>
  <c r="AA54" i="4"/>
  <c r="AJ55" i="4"/>
  <c r="AT49" i="4"/>
  <c r="AM49" i="1" s="1"/>
  <c r="O62" i="4"/>
  <c r="O61" i="4"/>
  <c r="O60" i="4"/>
  <c r="O59" i="4"/>
  <c r="O58" i="4"/>
  <c r="O57" i="4"/>
  <c r="O56" i="4"/>
  <c r="O55" i="4"/>
  <c r="O54" i="4"/>
  <c r="O52" i="4"/>
  <c r="O51" i="4"/>
  <c r="O50" i="4"/>
  <c r="O49" i="4"/>
  <c r="O31" i="4"/>
  <c r="O19" i="4"/>
  <c r="G62" i="4"/>
  <c r="G61" i="4"/>
  <c r="G60" i="4"/>
  <c r="F59" i="4"/>
  <c r="G58" i="4"/>
  <c r="G57" i="4"/>
  <c r="G56" i="4"/>
  <c r="F55" i="4"/>
  <c r="F54" i="4"/>
  <c r="G51" i="4"/>
  <c r="AJ51" i="1" s="1"/>
  <c r="G45" i="4"/>
  <c r="G41" i="4"/>
  <c r="G40" i="4"/>
  <c r="G31" i="4"/>
  <c r="G19" i="4"/>
  <c r="F46" i="4"/>
  <c r="F43" i="4"/>
  <c r="F42" i="4"/>
  <c r="F34" i="4"/>
  <c r="BC34" i="4" s="1"/>
  <c r="F19" i="4"/>
  <c r="F12" i="4"/>
  <c r="F62" i="4" l="1"/>
  <c r="F67" i="4"/>
  <c r="AY12" i="4"/>
  <c r="AX12" i="4"/>
  <c r="BB12" i="4"/>
  <c r="BA12" i="4"/>
  <c r="AT63" i="4"/>
  <c r="G49" i="4"/>
  <c r="AJ49" i="1" s="1"/>
  <c r="AJ40" i="1"/>
  <c r="F56" i="4"/>
  <c r="AI42" i="1"/>
  <c r="F50" i="4"/>
  <c r="AI50" i="1" s="1"/>
  <c r="AA63" i="4"/>
  <c r="F57" i="4"/>
  <c r="AI43" i="1"/>
  <c r="AX43" i="4"/>
  <c r="AY43" i="4"/>
  <c r="G55" i="4"/>
  <c r="AJ41" i="1"/>
  <c r="AY34" i="4"/>
  <c r="AX34" i="4"/>
  <c r="G52" i="4"/>
  <c r="AJ52" i="1" s="1"/>
  <c r="AJ45" i="1"/>
  <c r="F58" i="4"/>
  <c r="F60" i="4"/>
  <c r="AI46" i="1"/>
  <c r="F52" i="4"/>
  <c r="AI52" i="1" s="1"/>
  <c r="G54" i="4"/>
  <c r="F61" i="4"/>
  <c r="F49" i="4"/>
  <c r="AI49" i="1" s="1"/>
  <c r="G50" i="4"/>
  <c r="AJ50" i="1" s="1"/>
  <c r="G59" i="4"/>
  <c r="F51" i="4"/>
  <c r="AI51" i="1" s="1"/>
  <c r="O63" i="4"/>
  <c r="AZ12" i="4" l="1"/>
  <c r="AX67" i="4"/>
  <c r="AZ67" i="4" s="1"/>
  <c r="BB67" i="4"/>
  <c r="AY67" i="4"/>
  <c r="BA67" i="4"/>
  <c r="AZ34" i="4"/>
  <c r="M34" i="1" s="1"/>
  <c r="AZ43" i="4"/>
  <c r="F63" i="4"/>
  <c r="G63" i="4"/>
  <c r="AE34" i="1" l="1"/>
  <c r="AO34" i="1"/>
  <c r="AF34" i="1"/>
  <c r="N34" i="1"/>
  <c r="J34" i="1"/>
  <c r="X34" i="1"/>
  <c r="P34" i="1"/>
  <c r="O34" i="1"/>
  <c r="AZ25" i="4"/>
  <c r="D28" i="3"/>
  <c r="D27" i="3"/>
  <c r="D26" i="3"/>
  <c r="D25" i="3"/>
  <c r="D24" i="3"/>
  <c r="D23" i="3"/>
  <c r="D22" i="3"/>
  <c r="D21" i="3"/>
  <c r="D20" i="3"/>
  <c r="AS62" i="4"/>
  <c r="AR62" i="4"/>
  <c r="AP62" i="4"/>
  <c r="AO62" i="4"/>
  <c r="AM62" i="4"/>
  <c r="AS61" i="4"/>
  <c r="AH61" i="1" s="1"/>
  <c r="AR61" i="4"/>
  <c r="AG61" i="1" s="1"/>
  <c r="AP61" i="4"/>
  <c r="AO61" i="4"/>
  <c r="AN61" i="4"/>
  <c r="AD61" i="1" s="1"/>
  <c r="AM61" i="4"/>
  <c r="AC61" i="1" s="1"/>
  <c r="AS60" i="4"/>
  <c r="AH60" i="1" s="1"/>
  <c r="AR60" i="4"/>
  <c r="AP60" i="4"/>
  <c r="AO60" i="4"/>
  <c r="AM60" i="4"/>
  <c r="AC60" i="1" s="1"/>
  <c r="AS59" i="4"/>
  <c r="AH59" i="1" s="1"/>
  <c r="AR59" i="4"/>
  <c r="AP59" i="4"/>
  <c r="AM59" i="4"/>
  <c r="AC59" i="1" s="1"/>
  <c r="AS58" i="4"/>
  <c r="AR58" i="4"/>
  <c r="AG58" i="1" s="1"/>
  <c r="AP58" i="4"/>
  <c r="AO58" i="4"/>
  <c r="AM58" i="4"/>
  <c r="AC58" i="1" s="1"/>
  <c r="AS57" i="4"/>
  <c r="AR57" i="4"/>
  <c r="AP57" i="4"/>
  <c r="AO57" i="4"/>
  <c r="AN57" i="4"/>
  <c r="AM57" i="4"/>
  <c r="AC57" i="1" s="1"/>
  <c r="AS56" i="4"/>
  <c r="AH56" i="1" s="1"/>
  <c r="AR56" i="4"/>
  <c r="AG56" i="1" s="1"/>
  <c r="AP56" i="4"/>
  <c r="AM56" i="4"/>
  <c r="AC56" i="1" s="1"/>
  <c r="AS55" i="4"/>
  <c r="AR55" i="4"/>
  <c r="AG55" i="1" s="1"/>
  <c r="AP55" i="4"/>
  <c r="AN55" i="4"/>
  <c r="AM55" i="4"/>
  <c r="AC55" i="1" s="1"/>
  <c r="AS54" i="4"/>
  <c r="AH54" i="1" s="1"/>
  <c r="AR54" i="4"/>
  <c r="AP54" i="4"/>
  <c r="AM54" i="4"/>
  <c r="AC54" i="1" s="1"/>
  <c r="AI62" i="4"/>
  <c r="AH62" i="4"/>
  <c r="AG62" i="4"/>
  <c r="AE62" i="4"/>
  <c r="AD62" i="4"/>
  <c r="AC62" i="4"/>
  <c r="Y62" i="4"/>
  <c r="X62" i="4"/>
  <c r="T62" i="4"/>
  <c r="S62" i="4"/>
  <c r="R62" i="4"/>
  <c r="Q62" i="4"/>
  <c r="P62" i="4"/>
  <c r="N62" i="4"/>
  <c r="M62" i="4"/>
  <c r="L62" i="4"/>
  <c r="K62" i="4"/>
  <c r="J62" i="4"/>
  <c r="I62" i="4"/>
  <c r="E62" i="4"/>
  <c r="D62" i="4"/>
  <c r="AI61" i="4"/>
  <c r="AB61" i="1" s="1"/>
  <c r="AH61" i="4"/>
  <c r="AG61" i="4"/>
  <c r="AF61" i="4"/>
  <c r="Y61" i="1" s="1"/>
  <c r="AE61" i="4"/>
  <c r="AC61" i="4"/>
  <c r="Y61" i="4"/>
  <c r="X61" i="4"/>
  <c r="U61" i="4"/>
  <c r="T61" i="4"/>
  <c r="S61" i="4"/>
  <c r="Q61" i="4"/>
  <c r="N61" i="4"/>
  <c r="M61" i="4"/>
  <c r="L61" i="4"/>
  <c r="K61" i="4"/>
  <c r="J61" i="4"/>
  <c r="I61" i="4"/>
  <c r="H61" i="4"/>
  <c r="F61" i="1" s="1"/>
  <c r="E61" i="4"/>
  <c r="E61" i="1" s="1"/>
  <c r="D61" i="4"/>
  <c r="AH60" i="4"/>
  <c r="AG60" i="4"/>
  <c r="AF60" i="4"/>
  <c r="AE60" i="4"/>
  <c r="AD60" i="4"/>
  <c r="AC60" i="4"/>
  <c r="Z60" i="4"/>
  <c r="Y60" i="4"/>
  <c r="X60" i="4"/>
  <c r="U60" i="4"/>
  <c r="T60" i="4"/>
  <c r="S60" i="4"/>
  <c r="R60" i="4"/>
  <c r="Q60" i="4"/>
  <c r="N60" i="4"/>
  <c r="M60" i="4"/>
  <c r="L60" i="4"/>
  <c r="K60" i="4"/>
  <c r="J60" i="4"/>
  <c r="I60" i="4"/>
  <c r="E60" i="4"/>
  <c r="E60" i="1" s="1"/>
  <c r="D60" i="4"/>
  <c r="AH59" i="4"/>
  <c r="AG59" i="4"/>
  <c r="AE59" i="4"/>
  <c r="AD59" i="4"/>
  <c r="Y59" i="4"/>
  <c r="T59" i="4"/>
  <c r="Q59" i="4"/>
  <c r="N59" i="4"/>
  <c r="M59" i="4"/>
  <c r="L59" i="4"/>
  <c r="J59" i="4"/>
  <c r="I59" i="4"/>
  <c r="D59" i="4"/>
  <c r="AI58" i="4"/>
  <c r="AH58" i="4"/>
  <c r="AG58" i="4"/>
  <c r="AF58" i="4"/>
  <c r="Y58" i="1" s="1"/>
  <c r="AE58" i="4"/>
  <c r="AC58" i="4"/>
  <c r="Y58" i="4"/>
  <c r="X58" i="4"/>
  <c r="U58" i="4"/>
  <c r="T58" i="4"/>
  <c r="S58" i="4"/>
  <c r="Q58" i="4"/>
  <c r="N58" i="4"/>
  <c r="M58" i="4"/>
  <c r="L58" i="4"/>
  <c r="K58" i="4"/>
  <c r="J58" i="4"/>
  <c r="I58" i="4"/>
  <c r="D58" i="4"/>
  <c r="AI57" i="4"/>
  <c r="AH57" i="4"/>
  <c r="AG57" i="4"/>
  <c r="AF57" i="4"/>
  <c r="AE57" i="4"/>
  <c r="AD57" i="4"/>
  <c r="AC57" i="4"/>
  <c r="Z57" i="4"/>
  <c r="Y57" i="4"/>
  <c r="X57" i="4"/>
  <c r="U57" i="4"/>
  <c r="T57" i="4"/>
  <c r="S57" i="4"/>
  <c r="R57" i="4"/>
  <c r="Q57" i="4"/>
  <c r="P57" i="4"/>
  <c r="N57" i="4"/>
  <c r="M57" i="4"/>
  <c r="L57" i="4"/>
  <c r="K57" i="4"/>
  <c r="J57" i="4"/>
  <c r="I57" i="4"/>
  <c r="H57" i="4"/>
  <c r="E57" i="4"/>
  <c r="D57" i="4"/>
  <c r="BC57" i="4" s="1"/>
  <c r="AH56" i="4"/>
  <c r="AG56" i="4"/>
  <c r="AF56" i="4"/>
  <c r="Y56" i="1" s="1"/>
  <c r="AE56" i="4"/>
  <c r="AD56" i="4"/>
  <c r="W56" i="1" s="1"/>
  <c r="AC56" i="4"/>
  <c r="Y56" i="4"/>
  <c r="X56" i="4"/>
  <c r="U56" i="4"/>
  <c r="R56" i="1" s="1"/>
  <c r="T56" i="4"/>
  <c r="S56" i="4"/>
  <c r="Q56" i="4"/>
  <c r="P56" i="4"/>
  <c r="M56" i="1" s="1"/>
  <c r="N56" i="4"/>
  <c r="M56" i="4"/>
  <c r="L56" i="4"/>
  <c r="J56" i="4"/>
  <c r="I56" i="4"/>
  <c r="D56" i="4"/>
  <c r="AI55" i="4"/>
  <c r="AH55" i="4"/>
  <c r="AG55" i="4"/>
  <c r="AF55" i="4"/>
  <c r="Y55" i="1" s="1"/>
  <c r="AE55" i="4"/>
  <c r="AD55" i="4"/>
  <c r="W55" i="1" s="1"/>
  <c r="Y55" i="4"/>
  <c r="X55" i="4"/>
  <c r="S55" i="1" s="1"/>
  <c r="U55" i="4"/>
  <c r="R55" i="1" s="1"/>
  <c r="T55" i="4"/>
  <c r="Q55" i="4"/>
  <c r="P55" i="4"/>
  <c r="M55" i="1" s="1"/>
  <c r="N55" i="4"/>
  <c r="M55" i="4"/>
  <c r="L55" i="4"/>
  <c r="J55" i="4"/>
  <c r="I55" i="4"/>
  <c r="H55" i="4"/>
  <c r="E55" i="4"/>
  <c r="D55" i="4"/>
  <c r="AH54" i="4"/>
  <c r="AG54" i="4"/>
  <c r="AF54" i="4"/>
  <c r="AE54" i="4"/>
  <c r="T54" i="4"/>
  <c r="Q54" i="4"/>
  <c r="N54" i="4"/>
  <c r="M54" i="4"/>
  <c r="L54" i="4"/>
  <c r="I54" i="4"/>
  <c r="D54" i="4"/>
  <c r="C62" i="4"/>
  <c r="C61" i="4"/>
  <c r="C60" i="4"/>
  <c r="C58" i="4"/>
  <c r="C57" i="4"/>
  <c r="C56" i="4"/>
  <c r="C55" i="4"/>
  <c r="C59" i="4"/>
  <c r="C54" i="4"/>
  <c r="AU52" i="4"/>
  <c r="AU51" i="4"/>
  <c r="AU50" i="4"/>
  <c r="AU49" i="4"/>
  <c r="AS52" i="4"/>
  <c r="AR52" i="4"/>
  <c r="AP52" i="4"/>
  <c r="AM52" i="4"/>
  <c r="AH52" i="4"/>
  <c r="AG52" i="4"/>
  <c r="AE52" i="4"/>
  <c r="AD52" i="4"/>
  <c r="Y52" i="4"/>
  <c r="T52" i="4"/>
  <c r="Q52" i="4"/>
  <c r="N52" i="4"/>
  <c r="M52" i="4"/>
  <c r="L52" i="4"/>
  <c r="J52" i="4"/>
  <c r="I52" i="4"/>
  <c r="AS51" i="4"/>
  <c r="AR51" i="4"/>
  <c r="AP51" i="4"/>
  <c r="AM51" i="4"/>
  <c r="AH51" i="4"/>
  <c r="AG51" i="4"/>
  <c r="AF51" i="4"/>
  <c r="AE51" i="4"/>
  <c r="AD51" i="4"/>
  <c r="AC51" i="4"/>
  <c r="Y51" i="4"/>
  <c r="X51" i="4"/>
  <c r="U51" i="4"/>
  <c r="T51" i="4"/>
  <c r="S51" i="4"/>
  <c r="Q51" i="4"/>
  <c r="P51" i="4"/>
  <c r="N51" i="4"/>
  <c r="M51" i="4"/>
  <c r="L51" i="4"/>
  <c r="J51" i="4"/>
  <c r="I51" i="4"/>
  <c r="AS50" i="4"/>
  <c r="AR50" i="4"/>
  <c r="AP50" i="4"/>
  <c r="AN50" i="4"/>
  <c r="AM50" i="4"/>
  <c r="AI50" i="4"/>
  <c r="AH50" i="4"/>
  <c r="AG50" i="4"/>
  <c r="AF50" i="4"/>
  <c r="AE50" i="4"/>
  <c r="AD50" i="4"/>
  <c r="Y50" i="4"/>
  <c r="X50" i="4"/>
  <c r="U50" i="4"/>
  <c r="T50" i="4"/>
  <c r="Q50" i="4"/>
  <c r="P50" i="4"/>
  <c r="N50" i="4"/>
  <c r="M50" i="4"/>
  <c r="L50" i="4"/>
  <c r="J50" i="4"/>
  <c r="I50" i="4"/>
  <c r="H50" i="4"/>
  <c r="E50" i="4"/>
  <c r="AS49" i="4"/>
  <c r="AR49" i="4"/>
  <c r="AP49" i="4"/>
  <c r="AM49" i="4"/>
  <c r="AH49" i="4"/>
  <c r="AG49" i="4"/>
  <c r="AF49" i="4"/>
  <c r="AE49" i="4"/>
  <c r="T49" i="4"/>
  <c r="Q49" i="4"/>
  <c r="N49" i="4"/>
  <c r="M49" i="4"/>
  <c r="L49" i="4"/>
  <c r="I49" i="4"/>
  <c r="C52" i="4"/>
  <c r="C52" i="1" s="1"/>
  <c r="C49" i="4"/>
  <c r="C49" i="1" s="1"/>
  <c r="AF48" i="4"/>
  <c r="Z48" i="4"/>
  <c r="U48" i="4"/>
  <c r="AN48" i="4"/>
  <c r="H48" i="4"/>
  <c r="AD47" i="4"/>
  <c r="Z47" i="4"/>
  <c r="R47" i="4"/>
  <c r="P47" i="4"/>
  <c r="AI46" i="4"/>
  <c r="P46" i="4"/>
  <c r="AN46" i="4"/>
  <c r="H46" i="4"/>
  <c r="AI45" i="4"/>
  <c r="AG45" i="1" s="1"/>
  <c r="AF45" i="4"/>
  <c r="AC45" i="4"/>
  <c r="Z45" i="4"/>
  <c r="X45" i="4"/>
  <c r="W45" i="1" s="1"/>
  <c r="U45" i="4"/>
  <c r="S45" i="4"/>
  <c r="T45" i="1" s="1"/>
  <c r="R45" i="4"/>
  <c r="S45" i="1" s="1"/>
  <c r="P45" i="4"/>
  <c r="AO45" i="4"/>
  <c r="K45" i="4"/>
  <c r="AN45" i="4"/>
  <c r="H45" i="4"/>
  <c r="E45" i="4"/>
  <c r="AD44" i="4"/>
  <c r="Z44" i="4"/>
  <c r="R44" i="4"/>
  <c r="P44" i="4"/>
  <c r="AN44" i="4"/>
  <c r="H44" i="4"/>
  <c r="E44" i="4"/>
  <c r="AI42" i="4"/>
  <c r="Z42" i="4"/>
  <c r="R42" i="4"/>
  <c r="S42" i="1" s="1"/>
  <c r="AO42" i="4"/>
  <c r="L42" i="1" s="1"/>
  <c r="AN42" i="4"/>
  <c r="H42" i="4"/>
  <c r="E42" i="4"/>
  <c r="AC41" i="4"/>
  <c r="Z41" i="4"/>
  <c r="S41" i="4"/>
  <c r="T41" i="1" s="1"/>
  <c r="R41" i="4"/>
  <c r="AO41" i="4"/>
  <c r="AI40" i="4"/>
  <c r="AD40" i="4"/>
  <c r="AC40" i="4"/>
  <c r="Z40" i="4"/>
  <c r="Y40" i="4"/>
  <c r="X40" i="1" s="1"/>
  <c r="X40" i="4"/>
  <c r="U40" i="4"/>
  <c r="S40" i="4"/>
  <c r="T40" i="1" s="1"/>
  <c r="R40" i="4"/>
  <c r="P40" i="4"/>
  <c r="AO40" i="4"/>
  <c r="L40" i="1" s="1"/>
  <c r="K40" i="4"/>
  <c r="J40" i="4"/>
  <c r="AN40" i="4"/>
  <c r="H40" i="1" s="1"/>
  <c r="H40" i="4"/>
  <c r="E40" i="4"/>
  <c r="E36" i="4"/>
  <c r="BC36" i="4" s="1"/>
  <c r="AM32" i="4"/>
  <c r="AF31" i="4"/>
  <c r="AD31" i="4"/>
  <c r="U31" i="4"/>
  <c r="S31" i="4"/>
  <c r="R31" i="4"/>
  <c r="I31" i="4"/>
  <c r="AM31" i="4"/>
  <c r="AC29" i="4"/>
  <c r="BC29" i="4" s="1"/>
  <c r="AG21" i="4"/>
  <c r="Y21" i="4"/>
  <c r="AF19" i="4"/>
  <c r="L19" i="4"/>
  <c r="I19" i="4"/>
  <c r="AV4" i="4"/>
  <c r="AV6" i="4" s="1"/>
  <c r="BC31" i="4" l="1"/>
  <c r="BB31" i="4"/>
  <c r="BB21" i="4"/>
  <c r="BA21" i="4"/>
  <c r="BH18" i="4"/>
  <c r="BI18" i="4"/>
  <c r="R54" i="4"/>
  <c r="S40" i="1"/>
  <c r="H56" i="4"/>
  <c r="F56" i="1" s="1"/>
  <c r="G42" i="1"/>
  <c r="AN59" i="4"/>
  <c r="AD59" i="1" s="1"/>
  <c r="H45" i="1"/>
  <c r="AF62" i="4"/>
  <c r="Y62" i="1" s="1"/>
  <c r="AD48" i="1"/>
  <c r="AN56" i="4"/>
  <c r="AD56" i="1" s="1"/>
  <c r="H42" i="1"/>
  <c r="AC59" i="4"/>
  <c r="V59" i="1" s="1"/>
  <c r="Z45" i="1"/>
  <c r="AO55" i="4"/>
  <c r="AE55" i="1" s="1"/>
  <c r="L41" i="1"/>
  <c r="P58" i="4"/>
  <c r="M58" i="1" s="1"/>
  <c r="Q44" i="1"/>
  <c r="AF52" i="4"/>
  <c r="AD45" i="1"/>
  <c r="X49" i="4"/>
  <c r="W40" i="1"/>
  <c r="S41" i="1"/>
  <c r="R58" i="4"/>
  <c r="O58" i="1" s="1"/>
  <c r="S44" i="1"/>
  <c r="AG19" i="4"/>
  <c r="BE19" i="4"/>
  <c r="BG19" i="4" s="1"/>
  <c r="AC49" i="4"/>
  <c r="Z40" i="1"/>
  <c r="AC50" i="4"/>
  <c r="Z41" i="1"/>
  <c r="AI51" i="4"/>
  <c r="AG42" i="1"/>
  <c r="E52" i="4"/>
  <c r="AX45" i="4"/>
  <c r="F45" i="1"/>
  <c r="AY45" i="4"/>
  <c r="U52" i="4"/>
  <c r="V45" i="1"/>
  <c r="P60" i="4"/>
  <c r="M60" i="1" s="1"/>
  <c r="Q46" i="1"/>
  <c r="U62" i="4"/>
  <c r="R62" i="1" s="1"/>
  <c r="V48" i="1"/>
  <c r="AX29" i="4"/>
  <c r="AY29" i="4"/>
  <c r="P49" i="4"/>
  <c r="Q40" i="1"/>
  <c r="AD49" i="4"/>
  <c r="AA40" i="1"/>
  <c r="E51" i="4"/>
  <c r="F42" i="1"/>
  <c r="E58" i="4"/>
  <c r="E58" i="1" s="1"/>
  <c r="AY44" i="4"/>
  <c r="AX44" i="4"/>
  <c r="F44" i="1"/>
  <c r="H52" i="4"/>
  <c r="G45" i="1"/>
  <c r="AI60" i="4"/>
  <c r="AB60" i="1" s="1"/>
  <c r="AG46" i="1"/>
  <c r="Z62" i="4"/>
  <c r="U62" i="1" s="1"/>
  <c r="Y48" i="1"/>
  <c r="C57" i="1"/>
  <c r="AX57" i="4"/>
  <c r="AM57" i="1" s="1"/>
  <c r="AY57" i="4"/>
  <c r="AN57" i="1" s="1"/>
  <c r="AY36" i="4"/>
  <c r="AX36" i="4"/>
  <c r="H58" i="4"/>
  <c r="F58" i="1" s="1"/>
  <c r="G44" i="1"/>
  <c r="P61" i="4"/>
  <c r="M61" i="1" s="1"/>
  <c r="AX47" i="4"/>
  <c r="AZ47" i="4" s="1"/>
  <c r="AY47" i="4"/>
  <c r="Q47" i="1"/>
  <c r="E49" i="4"/>
  <c r="F40" i="1"/>
  <c r="AY40" i="4"/>
  <c r="AX40" i="4"/>
  <c r="C60" i="1"/>
  <c r="H54" i="4"/>
  <c r="F54" i="1" s="1"/>
  <c r="G40" i="1"/>
  <c r="J49" i="4"/>
  <c r="J40" i="1"/>
  <c r="Z58" i="4"/>
  <c r="U58" i="1" s="1"/>
  <c r="Y44" i="1"/>
  <c r="H60" i="4"/>
  <c r="F60" i="1" s="1"/>
  <c r="G46" i="1"/>
  <c r="AX46" i="4"/>
  <c r="AY46" i="4"/>
  <c r="H62" i="4"/>
  <c r="F62" i="1" s="1"/>
  <c r="G48" i="1"/>
  <c r="AY48" i="4"/>
  <c r="AX48" i="4"/>
  <c r="AI54" i="4"/>
  <c r="AB54" i="1" s="1"/>
  <c r="AG40" i="1"/>
  <c r="Z52" i="4"/>
  <c r="Y45" i="1"/>
  <c r="AY31" i="4"/>
  <c r="AX31" i="4"/>
  <c r="AZ31" i="4" s="1"/>
  <c r="AN58" i="4"/>
  <c r="AD58" i="1" s="1"/>
  <c r="H44" i="1"/>
  <c r="K52" i="4"/>
  <c r="K45" i="1"/>
  <c r="R61" i="4"/>
  <c r="O61" i="1" s="1"/>
  <c r="S47" i="1"/>
  <c r="U49" i="4"/>
  <c r="V40" i="1"/>
  <c r="AO59" i="4"/>
  <c r="AE59" i="1" s="1"/>
  <c r="L45" i="1"/>
  <c r="Z61" i="4"/>
  <c r="U61" i="1" s="1"/>
  <c r="Y47" i="1"/>
  <c r="P52" i="4"/>
  <c r="Q45" i="1"/>
  <c r="AD61" i="4"/>
  <c r="W61" i="1" s="1"/>
  <c r="AA47" i="1"/>
  <c r="Y19" i="4"/>
  <c r="BE18" i="4"/>
  <c r="BG18" i="4" s="1"/>
  <c r="V21" i="1" s="1"/>
  <c r="V19" i="1" s="1"/>
  <c r="K49" i="4"/>
  <c r="K40" i="1"/>
  <c r="Z49" i="4"/>
  <c r="Y40" i="1"/>
  <c r="Z55" i="4"/>
  <c r="U55" i="1" s="1"/>
  <c r="Y41" i="1"/>
  <c r="Z56" i="4"/>
  <c r="U56" i="1" s="1"/>
  <c r="Y42" i="1"/>
  <c r="AD58" i="4"/>
  <c r="W58" i="1" s="1"/>
  <c r="AA44" i="1"/>
  <c r="AN60" i="4"/>
  <c r="AD60" i="1" s="1"/>
  <c r="H46" i="1"/>
  <c r="AN62" i="4"/>
  <c r="AD62" i="1" s="1"/>
  <c r="H48" i="1"/>
  <c r="Q25" i="1"/>
  <c r="AO25" i="1"/>
  <c r="AN25" i="1"/>
  <c r="AK25" i="1"/>
  <c r="AI25" i="1"/>
  <c r="AV48" i="4"/>
  <c r="BG20" i="4"/>
  <c r="J54" i="4"/>
  <c r="H54" i="1" s="1"/>
  <c r="Z51" i="4"/>
  <c r="AN51" i="4"/>
  <c r="K54" i="4"/>
  <c r="I54" i="1" s="1"/>
  <c r="K59" i="4"/>
  <c r="I59" i="1" s="1"/>
  <c r="H51" i="4"/>
  <c r="E54" i="4"/>
  <c r="E54" i="1" s="1"/>
  <c r="U38" i="1"/>
  <c r="X38" i="1"/>
  <c r="AO52" i="4"/>
  <c r="W26" i="1"/>
  <c r="AC54" i="4"/>
  <c r="V54" i="1" s="1"/>
  <c r="AF59" i="4"/>
  <c r="Y59" i="1" s="1"/>
  <c r="R49" i="4"/>
  <c r="Z50" i="4"/>
  <c r="AO50" i="4"/>
  <c r="AC52" i="4"/>
  <c r="N63" i="4"/>
  <c r="H49" i="4"/>
  <c r="E59" i="4"/>
  <c r="E59" i="1" s="1"/>
  <c r="I63" i="4"/>
  <c r="U54" i="4"/>
  <c r="R54" i="1" s="1"/>
  <c r="O54" i="1"/>
  <c r="AN49" i="4"/>
  <c r="AN54" i="4"/>
  <c r="AD54" i="1" s="1"/>
  <c r="R50" i="4"/>
  <c r="R55" i="4"/>
  <c r="O55" i="1" s="1"/>
  <c r="X52" i="4"/>
  <c r="X59" i="4"/>
  <c r="S59" i="1" s="1"/>
  <c r="AI52" i="4"/>
  <c r="AI59" i="4"/>
  <c r="AB59" i="1" s="1"/>
  <c r="AG63" i="4"/>
  <c r="Y49" i="4"/>
  <c r="Y54" i="4"/>
  <c r="C56" i="1"/>
  <c r="H59" i="4"/>
  <c r="F59" i="1" s="1"/>
  <c r="S49" i="4"/>
  <c r="S54" i="4"/>
  <c r="P54" i="1" s="1"/>
  <c r="AI49" i="4"/>
  <c r="C54" i="1"/>
  <c r="L63" i="4"/>
  <c r="Q63" i="4"/>
  <c r="X54" i="4"/>
  <c r="AC55" i="4"/>
  <c r="V55" i="1" s="1"/>
  <c r="E56" i="4"/>
  <c r="E56" i="1" s="1"/>
  <c r="AR63" i="4"/>
  <c r="AG54" i="1"/>
  <c r="C61" i="1"/>
  <c r="X37" i="1"/>
  <c r="U37" i="1"/>
  <c r="AO51" i="4"/>
  <c r="AO56" i="4"/>
  <c r="AE56" i="1" s="1"/>
  <c r="D63" i="4"/>
  <c r="T63" i="4"/>
  <c r="P59" i="4"/>
  <c r="M59" i="1" s="1"/>
  <c r="C55" i="1"/>
  <c r="S50" i="4"/>
  <c r="S55" i="4"/>
  <c r="R51" i="4"/>
  <c r="R56" i="4"/>
  <c r="O56" i="1" s="1"/>
  <c r="R52" i="4"/>
  <c r="R59" i="4"/>
  <c r="O59" i="1" s="1"/>
  <c r="P54" i="4"/>
  <c r="M54" i="1" s="1"/>
  <c r="AD54" i="4"/>
  <c r="AH63" i="4"/>
  <c r="Z59" i="4"/>
  <c r="U59" i="1" s="1"/>
  <c r="S52" i="4"/>
  <c r="S59" i="4"/>
  <c r="P59" i="1" s="1"/>
  <c r="AO49" i="4"/>
  <c r="AO54" i="4"/>
  <c r="AE54" i="1" s="1"/>
  <c r="AN52" i="4"/>
  <c r="C59" i="1"/>
  <c r="C58" i="1"/>
  <c r="C63" i="4"/>
  <c r="M63" i="4"/>
  <c r="Z54" i="4"/>
  <c r="U54" i="1" s="1"/>
  <c r="Y54" i="1"/>
  <c r="E55" i="1"/>
  <c r="AI56" i="4"/>
  <c r="AB56" i="1" s="1"/>
  <c r="U59" i="4"/>
  <c r="R59" i="1" s="1"/>
  <c r="AS63" i="4"/>
  <c r="AP63" i="4"/>
  <c r="AE63" i="4"/>
  <c r="AM63" i="4"/>
  <c r="AV9" i="4"/>
  <c r="AV37" i="4"/>
  <c r="AV13" i="4"/>
  <c r="AV38" i="4"/>
  <c r="AV46" i="4"/>
  <c r="AV14" i="4"/>
  <c r="AV23" i="4"/>
  <c r="AV17" i="4"/>
  <c r="AV24" i="4"/>
  <c r="AV30" i="4"/>
  <c r="AV31" i="4"/>
  <c r="AV27" i="4"/>
  <c r="AV34" i="4"/>
  <c r="AV44" i="4"/>
  <c r="AV10" i="4"/>
  <c r="AV43" i="4"/>
  <c r="AV64" i="4"/>
  <c r="AV28" i="4"/>
  <c r="AV47" i="4"/>
  <c r="AV65" i="4"/>
  <c r="AV11" i="4"/>
  <c r="AV21" i="4"/>
  <c r="AV12" i="4"/>
  <c r="AV22" i="4"/>
  <c r="AV29" i="4"/>
  <c r="AV36" i="4"/>
  <c r="AV15" i="4"/>
  <c r="AV19" i="4"/>
  <c r="AV25" i="4"/>
  <c r="AV32" i="4"/>
  <c r="AV41" i="4"/>
  <c r="AV5" i="4"/>
  <c r="AV16" i="4"/>
  <c r="AV20" i="4"/>
  <c r="AV26" i="4"/>
  <c r="AV33" i="4"/>
  <c r="AV40" i="4"/>
  <c r="AV42" i="4"/>
  <c r="AV45" i="4"/>
  <c r="AZ40" i="4" l="1"/>
  <c r="BC58" i="4"/>
  <c r="BC59" i="4"/>
  <c r="BC61" i="4"/>
  <c r="BC54" i="4"/>
  <c r="BC60" i="4"/>
  <c r="BC62" i="4"/>
  <c r="AY61" i="4"/>
  <c r="AN61" i="1" s="1"/>
  <c r="AZ36" i="4"/>
  <c r="U36" i="1" s="1"/>
  <c r="AX61" i="4"/>
  <c r="AZ61" i="4" s="1"/>
  <c r="BA61" i="4" s="1"/>
  <c r="AY62" i="4"/>
  <c r="AN62" i="1" s="1"/>
  <c r="AZ46" i="4"/>
  <c r="AY59" i="4"/>
  <c r="AN59" i="1" s="1"/>
  <c r="AY60" i="4"/>
  <c r="AN60" i="1" s="1"/>
  <c r="AZ57" i="4"/>
  <c r="AX62" i="4"/>
  <c r="AX59" i="4"/>
  <c r="AX60" i="4"/>
  <c r="AZ44" i="4"/>
  <c r="AY58" i="4"/>
  <c r="AN58" i="1" s="1"/>
  <c r="AM61" i="1"/>
  <c r="AZ29" i="4"/>
  <c r="AZ45" i="4"/>
  <c r="AZ48" i="4"/>
  <c r="AX58" i="4"/>
  <c r="AY53" i="4"/>
  <c r="AX54" i="4"/>
  <c r="AY54" i="4"/>
  <c r="AN54" i="1" s="1"/>
  <c r="E38" i="1"/>
  <c r="E37" i="1"/>
  <c r="J63" i="4"/>
  <c r="M26" i="1"/>
  <c r="P63" i="4"/>
  <c r="AI63" i="4"/>
  <c r="E63" i="4"/>
  <c r="AC26" i="1"/>
  <c r="P26" i="1"/>
  <c r="AF63" i="4"/>
  <c r="AC63" i="4"/>
  <c r="R63" i="4"/>
  <c r="AO63" i="4"/>
  <c r="AD63" i="4"/>
  <c r="W54" i="1"/>
  <c r="U63" i="4"/>
  <c r="AN63" i="4"/>
  <c r="S63" i="4"/>
  <c r="P55" i="1"/>
  <c r="X63" i="4"/>
  <c r="S54" i="1"/>
  <c r="Z63" i="4"/>
  <c r="Y63" i="4"/>
  <c r="T54" i="1"/>
  <c r="H63" i="4"/>
  <c r="T57" i="1" l="1"/>
  <c r="BA57" i="4"/>
  <c r="P57" i="1"/>
  <c r="AZ62" i="4"/>
  <c r="AM62" i="1"/>
  <c r="AO29" i="1"/>
  <c r="AL29" i="1"/>
  <c r="AP29" i="1"/>
  <c r="M57" i="1"/>
  <c r="AZ59" i="4"/>
  <c r="AM59" i="1"/>
  <c r="K31" i="1"/>
  <c r="AZ58" i="4"/>
  <c r="AM58" i="1"/>
  <c r="AZ60" i="4"/>
  <c r="AM60" i="1"/>
  <c r="AZ54" i="4"/>
  <c r="BA54" i="4" s="1"/>
  <c r="AM54" i="1"/>
  <c r="N57" i="1"/>
  <c r="AF57" i="1"/>
  <c r="E57" i="1"/>
  <c r="AE57" i="1"/>
  <c r="D57" i="1"/>
  <c r="S57" i="1"/>
  <c r="G57" i="1"/>
  <c r="Z57" i="1"/>
  <c r="H57" i="1"/>
  <c r="K57" i="1"/>
  <c r="AG57" i="1"/>
  <c r="Q57" i="1"/>
  <c r="L57" i="1"/>
  <c r="AL61" i="1"/>
  <c r="AK61" i="1"/>
  <c r="AJ61" i="1"/>
  <c r="AS61" i="1"/>
  <c r="AR61" i="1"/>
  <c r="AQ61" i="1"/>
  <c r="X62" i="1"/>
  <c r="AI62" i="1"/>
  <c r="AS62" i="1"/>
  <c r="AR62" i="1"/>
  <c r="AQ62" i="1"/>
  <c r="AJ62" i="1"/>
  <c r="AD57" i="1"/>
  <c r="AS57" i="1"/>
  <c r="AR57" i="1"/>
  <c r="AL57" i="1"/>
  <c r="AQ57" i="1"/>
  <c r="AK57" i="1"/>
  <c r="AJ57" i="1"/>
  <c r="X57" i="1"/>
  <c r="AA57" i="1"/>
  <c r="U57" i="1"/>
  <c r="AH57" i="1"/>
  <c r="I57" i="1"/>
  <c r="O57" i="1"/>
  <c r="V57" i="1"/>
  <c r="AP61" i="1"/>
  <c r="AO61" i="1"/>
  <c r="AB62" i="1"/>
  <c r="AO62" i="1"/>
  <c r="F57" i="1"/>
  <c r="AP57" i="1"/>
  <c r="AO57" i="1"/>
  <c r="R57" i="1"/>
  <c r="J57" i="1"/>
  <c r="W57" i="1"/>
  <c r="AB57" i="1"/>
  <c r="Y57" i="1"/>
  <c r="P62" i="1"/>
  <c r="AA62" i="1"/>
  <c r="L62" i="1"/>
  <c r="I62" i="1"/>
  <c r="N62" i="1"/>
  <c r="AC62" i="1"/>
  <c r="AC63" i="1" s="1"/>
  <c r="AG62" i="1"/>
  <c r="M62" i="1"/>
  <c r="AH62" i="1"/>
  <c r="W62" i="1"/>
  <c r="Z62" i="1"/>
  <c r="J62" i="1"/>
  <c r="T62" i="1"/>
  <c r="AE62" i="1"/>
  <c r="H62" i="1"/>
  <c r="AA59" i="1"/>
  <c r="Q61" i="1"/>
  <c r="J61" i="1"/>
  <c r="Z61" i="1"/>
  <c r="N61" i="1"/>
  <c r="S61" i="1"/>
  <c r="I61" i="1"/>
  <c r="R61" i="1"/>
  <c r="L61" i="1"/>
  <c r="V61" i="1"/>
  <c r="AF61" i="1"/>
  <c r="G61" i="1"/>
  <c r="X61" i="1"/>
  <c r="K61" i="1"/>
  <c r="AE61" i="1"/>
  <c r="P61" i="1"/>
  <c r="AA61" i="1"/>
  <c r="T61" i="1"/>
  <c r="H61" i="1"/>
  <c r="D61" i="1"/>
  <c r="AE21" i="1"/>
  <c r="AE19" i="1"/>
  <c r="AD31" i="1"/>
  <c r="AD19" i="1"/>
  <c r="AA31" i="1"/>
  <c r="Z29" i="1"/>
  <c r="X21" i="1"/>
  <c r="X19" i="1" s="1"/>
  <c r="AL62" i="1" l="1"/>
  <c r="BA62" i="4"/>
  <c r="AP62" i="1" s="1"/>
  <c r="Z60" i="1"/>
  <c r="BA60" i="4"/>
  <c r="AK59" i="1"/>
  <c r="BA59" i="4"/>
  <c r="AJ58" i="1"/>
  <c r="BA58" i="4"/>
  <c r="AP58" i="1" s="1"/>
  <c r="E62" i="1"/>
  <c r="AF62" i="1"/>
  <c r="D62" i="1"/>
  <c r="G62" i="1"/>
  <c r="K62" i="1"/>
  <c r="AK62" i="1"/>
  <c r="V62" i="1"/>
  <c r="C62" i="1"/>
  <c r="C63" i="1" s="1"/>
  <c r="Q62" i="1"/>
  <c r="AQ58" i="1"/>
  <c r="H59" i="1"/>
  <c r="J58" i="1"/>
  <c r="AQ60" i="1"/>
  <c r="H58" i="1"/>
  <c r="AL59" i="1"/>
  <c r="AR59" i="1"/>
  <c r="K59" i="1"/>
  <c r="D59" i="1"/>
  <c r="J59" i="1"/>
  <c r="G59" i="1"/>
  <c r="AO59" i="1"/>
  <c r="Q59" i="1"/>
  <c r="AP59" i="1"/>
  <c r="L59" i="1"/>
  <c r="N59" i="1"/>
  <c r="AG59" i="1"/>
  <c r="R58" i="1"/>
  <c r="AS59" i="1"/>
  <c r="T59" i="1"/>
  <c r="X59" i="1"/>
  <c r="AB58" i="1"/>
  <c r="AJ59" i="1"/>
  <c r="AE58" i="1"/>
  <c r="AK58" i="1"/>
  <c r="AF59" i="1"/>
  <c r="Z59" i="1"/>
  <c r="AA58" i="1"/>
  <c r="AF60" i="1"/>
  <c r="AR58" i="1"/>
  <c r="AQ59" i="1"/>
  <c r="W59" i="1"/>
  <c r="G58" i="1"/>
  <c r="T60" i="1"/>
  <c r="D60" i="1"/>
  <c r="V58" i="1"/>
  <c r="D58" i="1"/>
  <c r="K58" i="1"/>
  <c r="AE60" i="1"/>
  <c r="W60" i="1"/>
  <c r="Q60" i="1"/>
  <c r="AA60" i="1"/>
  <c r="AL60" i="1"/>
  <c r="S58" i="1"/>
  <c r="Z58" i="1"/>
  <c r="L58" i="1"/>
  <c r="R60" i="1"/>
  <c r="AO58" i="1"/>
  <c r="AS60" i="1"/>
  <c r="L60" i="1"/>
  <c r="S60" i="1"/>
  <c r="AF58" i="1"/>
  <c r="X60" i="1"/>
  <c r="AI60" i="1"/>
  <c r="H60" i="1"/>
  <c r="AR60" i="1"/>
  <c r="I60" i="1"/>
  <c r="N60" i="1"/>
  <c r="AL58" i="1"/>
  <c r="Q58" i="1"/>
  <c r="I58" i="1"/>
  <c r="AH58" i="1"/>
  <c r="O60" i="1"/>
  <c r="P60" i="1"/>
  <c r="Y60" i="1"/>
  <c r="Y63" i="1" s="1"/>
  <c r="AO60" i="1"/>
  <c r="AS58" i="1"/>
  <c r="AJ60" i="1"/>
  <c r="U60" i="1"/>
  <c r="U63" i="1" s="1"/>
  <c r="K60" i="1"/>
  <c r="N58" i="1"/>
  <c r="G60" i="1"/>
  <c r="M63" i="1"/>
  <c r="X58" i="1"/>
  <c r="T58" i="1"/>
  <c r="P58" i="1"/>
  <c r="J60" i="1"/>
  <c r="AG60" i="1"/>
  <c r="V60" i="1"/>
  <c r="AP60" i="1"/>
  <c r="AK60" i="1"/>
  <c r="S62" i="1"/>
  <c r="O62" i="1"/>
  <c r="E63" i="1"/>
  <c r="AL54" i="1"/>
  <c r="AK54" i="1"/>
  <c r="AR54" i="1"/>
  <c r="AS54" i="1"/>
  <c r="AJ54" i="1"/>
  <c r="AQ54" i="1"/>
  <c r="AA56" i="1"/>
  <c r="AQ56" i="1"/>
  <c r="AQ55" i="1"/>
  <c r="AP54" i="1"/>
  <c r="AO54" i="1"/>
  <c r="AA55" i="1"/>
  <c r="AF54" i="1"/>
  <c r="X54" i="1"/>
  <c r="G54" i="1"/>
  <c r="L54" i="1"/>
  <c r="N54" i="1"/>
  <c r="Z54" i="1"/>
  <c r="D54" i="1"/>
  <c r="K54" i="1"/>
  <c r="J54" i="1"/>
  <c r="Q54" i="1"/>
  <c r="AA54" i="1"/>
  <c r="V31" i="1"/>
  <c r="T31" i="1"/>
  <c r="S31" i="1"/>
  <c r="W63" i="1" l="1"/>
  <c r="O63" i="1"/>
  <c r="R63" i="1"/>
  <c r="AE63" i="1"/>
  <c r="AG63" i="1"/>
  <c r="AQ63" i="1"/>
  <c r="AA63" i="1"/>
  <c r="M19" i="1"/>
  <c r="I31" i="1"/>
  <c r="I19" i="1"/>
  <c r="F36" i="1" l="1"/>
  <c r="D31" i="1" l="1"/>
  <c r="D32" i="1"/>
  <c r="H5" i="3" l="1"/>
  <c r="A55" i="3"/>
  <c r="A54" i="3"/>
  <c r="A44" i="3"/>
  <c r="A43" i="3"/>
  <c r="D14" i="3" s="1"/>
  <c r="A42" i="3"/>
  <c r="D15" i="3" s="1"/>
  <c r="A41" i="3"/>
  <c r="A40" i="3"/>
  <c r="A39" i="3"/>
  <c r="A38" i="3"/>
  <c r="A37" i="3"/>
  <c r="A36" i="3"/>
  <c r="A35" i="3"/>
  <c r="A34" i="3"/>
  <c r="A33" i="3"/>
  <c r="D19" i="3" s="1"/>
  <c r="A32" i="3"/>
  <c r="A31" i="3"/>
  <c r="A30" i="3"/>
  <c r="A29" i="3"/>
  <c r="A28" i="3"/>
  <c r="A27" i="3"/>
  <c r="A26" i="3"/>
  <c r="A25" i="3"/>
  <c r="A24" i="3"/>
  <c r="A23" i="3"/>
  <c r="A22" i="3"/>
  <c r="A21" i="3"/>
  <c r="A20" i="3"/>
  <c r="A19" i="3"/>
  <c r="A18" i="3"/>
  <c r="A17" i="3"/>
  <c r="A16" i="3"/>
  <c r="A15" i="3"/>
  <c r="A13" i="3"/>
  <c r="AV4" i="1"/>
  <c r="H6" i="3" l="1"/>
  <c r="AP7" i="4"/>
  <c r="AL7" i="4"/>
  <c r="W7" i="4"/>
  <c r="O7" i="4"/>
  <c r="AG7" i="4"/>
  <c r="AC7" i="4"/>
  <c r="U7" i="4"/>
  <c r="Q7" i="4"/>
  <c r="L7" i="4"/>
  <c r="H7" i="4"/>
  <c r="AT7" i="4"/>
  <c r="AO7" i="4"/>
  <c r="AB7" i="4"/>
  <c r="V7" i="4"/>
  <c r="G7" i="4"/>
  <c r="AF7" i="4"/>
  <c r="Z7" i="4"/>
  <c r="T7" i="4"/>
  <c r="P7" i="4"/>
  <c r="K7" i="4"/>
  <c r="E7" i="4"/>
  <c r="AS7" i="4"/>
  <c r="AN7" i="4"/>
  <c r="AQ7" i="4"/>
  <c r="AK7" i="4"/>
  <c r="F7" i="4"/>
  <c r="AE7" i="4"/>
  <c r="Y7" i="4"/>
  <c r="S7" i="4"/>
  <c r="N7" i="4"/>
  <c r="J7" i="4"/>
  <c r="AR7" i="4"/>
  <c r="AM7" i="4"/>
  <c r="AA7" i="4"/>
  <c r="AJ7" i="4"/>
  <c r="AI7" i="4"/>
  <c r="AD7" i="4"/>
  <c r="X7" i="4"/>
  <c r="R7" i="4"/>
  <c r="M7" i="4"/>
  <c r="I7" i="4"/>
  <c r="D7" i="4"/>
  <c r="AV57" i="1"/>
  <c r="B48" i="3" s="1"/>
  <c r="E23" i="3" s="1"/>
  <c r="H23" i="3" s="1"/>
  <c r="AV56" i="1"/>
  <c r="B47" i="3" s="1"/>
  <c r="E22" i="3" s="1"/>
  <c r="H22" i="3" s="1"/>
  <c r="AV55" i="1"/>
  <c r="B46" i="3" s="1"/>
  <c r="E21" i="3" s="1"/>
  <c r="H21" i="3" s="1"/>
  <c r="AV62" i="1"/>
  <c r="B53" i="3" s="1"/>
  <c r="E28" i="3" s="1"/>
  <c r="H28" i="3" s="1"/>
  <c r="AV54" i="1"/>
  <c r="B45" i="3" s="1"/>
  <c r="E20" i="3" s="1"/>
  <c r="H20" i="3" s="1"/>
  <c r="AV61" i="1"/>
  <c r="B52" i="3" s="1"/>
  <c r="E27" i="3" s="1"/>
  <c r="H27" i="3" s="1"/>
  <c r="AV60" i="1"/>
  <c r="B51" i="3" s="1"/>
  <c r="E26" i="3" s="1"/>
  <c r="H26" i="3" s="1"/>
  <c r="AV59" i="1"/>
  <c r="B50" i="3" s="1"/>
  <c r="E25" i="3" s="1"/>
  <c r="H25" i="3" s="1"/>
  <c r="AV58" i="1"/>
  <c r="B49" i="3" s="1"/>
  <c r="E24" i="3" s="1"/>
  <c r="H24" i="3" s="1"/>
  <c r="AV44" i="1"/>
  <c r="AV5" i="1"/>
  <c r="B13" i="3" s="1"/>
  <c r="N49" i="3" s="1"/>
  <c r="AV35" i="1"/>
  <c r="B40" i="3" s="1"/>
  <c r="AV20" i="1"/>
  <c r="B25" i="3" s="1"/>
  <c r="G33" i="3" s="1"/>
  <c r="AV41" i="1"/>
  <c r="AV9" i="1"/>
  <c r="B15" i="3" s="1"/>
  <c r="AV42" i="1"/>
  <c r="AV10" i="1"/>
  <c r="B16" i="3" s="1"/>
  <c r="AV43" i="1"/>
  <c r="AV11" i="1"/>
  <c r="B17" i="3" s="1"/>
  <c r="AV28" i="1"/>
  <c r="B33" i="3" s="1"/>
  <c r="AV64" i="1"/>
  <c r="B54" i="3" s="1"/>
  <c r="AV17" i="1"/>
  <c r="B23" i="3" s="1"/>
  <c r="AV34" i="1"/>
  <c r="B39" i="3" s="1"/>
  <c r="AV19" i="1"/>
  <c r="B24" i="3" s="1"/>
  <c r="AV36" i="1"/>
  <c r="B41" i="3" s="1"/>
  <c r="E13" i="3" s="1"/>
  <c r="AV25" i="1"/>
  <c r="B30" i="3" s="1"/>
  <c r="E33" i="3" s="1"/>
  <c r="AV26" i="1"/>
  <c r="B31" i="3" s="1"/>
  <c r="E36" i="3" s="1"/>
  <c r="AV27" i="1"/>
  <c r="B32" i="3" s="1"/>
  <c r="AV16" i="1"/>
  <c r="B22" i="3" s="1"/>
  <c r="AV33" i="1"/>
  <c r="B38" i="3" s="1"/>
  <c r="AV12" i="1"/>
  <c r="B18" i="3" s="1"/>
  <c r="H2" i="3" s="1"/>
  <c r="AV21" i="1"/>
  <c r="B26" i="3" s="1"/>
  <c r="G38" i="3" s="1"/>
  <c r="AV29" i="1"/>
  <c r="B34" i="3" s="1"/>
  <c r="AV37" i="1"/>
  <c r="B42" i="3" s="1"/>
  <c r="AV45" i="1"/>
  <c r="AV13" i="1"/>
  <c r="B19" i="3" s="1"/>
  <c r="AV22" i="1"/>
  <c r="B27" i="3" s="1"/>
  <c r="AV30" i="1"/>
  <c r="B35" i="3" s="1"/>
  <c r="AV38" i="1"/>
  <c r="B43" i="3" s="1"/>
  <c r="N50" i="3" s="1"/>
  <c r="AV46" i="1"/>
  <c r="AV14" i="1"/>
  <c r="B20" i="3" s="1"/>
  <c r="AV23" i="1"/>
  <c r="B28" i="3" s="1"/>
  <c r="AV31" i="1"/>
  <c r="B36" i="3" s="1"/>
  <c r="AV39" i="1"/>
  <c r="AV47" i="1"/>
  <c r="AV15" i="1"/>
  <c r="B21" i="3" s="1"/>
  <c r="AV24" i="1"/>
  <c r="B29" i="3" s="1"/>
  <c r="G34" i="3" s="1"/>
  <c r="AV32" i="1"/>
  <c r="B37" i="3" s="1"/>
  <c r="AV40" i="1"/>
  <c r="AV48" i="1"/>
  <c r="D7" i="1" l="1"/>
  <c r="D8" i="4"/>
  <c r="X8" i="4"/>
  <c r="X7" i="1"/>
  <c r="AA7" i="1"/>
  <c r="AA8" i="4"/>
  <c r="N8" i="4"/>
  <c r="N7" i="1"/>
  <c r="F7" i="1"/>
  <c r="F8" i="4"/>
  <c r="AS8" i="4"/>
  <c r="AS7" i="1"/>
  <c r="T8" i="4"/>
  <c r="T7" i="1"/>
  <c r="V8" i="4"/>
  <c r="V7" i="1"/>
  <c r="H7" i="1"/>
  <c r="H8" i="4"/>
  <c r="AC8" i="4"/>
  <c r="AC7" i="1"/>
  <c r="AL8" i="4"/>
  <c r="AL7" i="1"/>
  <c r="I8" i="4"/>
  <c r="I7" i="1"/>
  <c r="AD8" i="4"/>
  <c r="AD7" i="1"/>
  <c r="AM8" i="4"/>
  <c r="AM7" i="1"/>
  <c r="S8" i="4"/>
  <c r="S7" i="1"/>
  <c r="AK8" i="4"/>
  <c r="AK7" i="1"/>
  <c r="E7" i="1"/>
  <c r="E8" i="4"/>
  <c r="Z8" i="4"/>
  <c r="Z7" i="1"/>
  <c r="AB8" i="4"/>
  <c r="AB7" i="1"/>
  <c r="L8" i="4"/>
  <c r="L7" i="1"/>
  <c r="AG8" i="4"/>
  <c r="AG7" i="1"/>
  <c r="AP8" i="4"/>
  <c r="AP7" i="1"/>
  <c r="M7" i="1"/>
  <c r="M8" i="4"/>
  <c r="AI7" i="1"/>
  <c r="AI8" i="4"/>
  <c r="AR8" i="4"/>
  <c r="AR7" i="1"/>
  <c r="Y8" i="4"/>
  <c r="Y7" i="1"/>
  <c r="AQ8" i="4"/>
  <c r="AQ7" i="1"/>
  <c r="K8" i="4"/>
  <c r="K7" i="1"/>
  <c r="AF8" i="4"/>
  <c r="AF7" i="1"/>
  <c r="AO8" i="4"/>
  <c r="AO7" i="1"/>
  <c r="Q8" i="4"/>
  <c r="Q7" i="1"/>
  <c r="O8" i="4"/>
  <c r="O7" i="1"/>
  <c r="R8" i="4"/>
  <c r="R7" i="1"/>
  <c r="AJ8" i="4"/>
  <c r="AJ42" i="4" s="1"/>
  <c r="AJ7" i="1"/>
  <c r="J8" i="4"/>
  <c r="J7" i="1"/>
  <c r="AE8" i="4"/>
  <c r="AE7" i="1"/>
  <c r="AN8" i="4"/>
  <c r="AN7" i="1"/>
  <c r="P7" i="1"/>
  <c r="P8" i="4"/>
  <c r="G8" i="4"/>
  <c r="G7" i="1"/>
  <c r="AT8" i="4"/>
  <c r="AT7" i="1"/>
  <c r="U8" i="4"/>
  <c r="U7" i="1"/>
  <c r="W8" i="4"/>
  <c r="W7" i="1"/>
  <c r="AV7" i="1" s="1"/>
  <c r="I26" i="3"/>
  <c r="I27" i="3"/>
  <c r="I28" i="3"/>
  <c r="I25" i="3"/>
  <c r="I24" i="3"/>
  <c r="I23" i="3"/>
  <c r="E29" i="3"/>
  <c r="I20" i="3"/>
  <c r="E15" i="3"/>
  <c r="N51" i="3"/>
  <c r="N52" i="3" s="1"/>
  <c r="E14" i="3"/>
  <c r="H14" i="3" s="1"/>
  <c r="H7" i="3"/>
  <c r="F14" i="3"/>
  <c r="I22" i="3"/>
  <c r="G35" i="3"/>
  <c r="G40" i="3" s="1"/>
  <c r="N63" i="3" s="1"/>
  <c r="E37" i="3"/>
  <c r="E38" i="3" s="1"/>
  <c r="I21" i="3"/>
  <c r="AL42" i="1" l="1"/>
  <c r="AJ51" i="4"/>
  <c r="AL51" i="1" s="1"/>
  <c r="AJ56" i="4"/>
  <c r="AJ63" i="4" s="1"/>
  <c r="K42" i="4"/>
  <c r="K41" i="4"/>
  <c r="G28" i="3"/>
  <c r="N64" i="3"/>
  <c r="J27" i="3"/>
  <c r="J25" i="3"/>
  <c r="J28" i="3"/>
  <c r="J23" i="3"/>
  <c r="J26" i="3"/>
  <c r="J24" i="3"/>
  <c r="G26" i="3"/>
  <c r="G24" i="3"/>
  <c r="G23" i="3"/>
  <c r="G21" i="3"/>
  <c r="G25" i="3"/>
  <c r="G22" i="3"/>
  <c r="G27" i="3"/>
  <c r="G29" i="3"/>
  <c r="G20" i="3"/>
  <c r="H15" i="3"/>
  <c r="I15" i="3" s="1"/>
  <c r="F15" i="3"/>
  <c r="G15" i="3"/>
  <c r="I29" i="3"/>
  <c r="G14" i="3"/>
  <c r="J21" i="3"/>
  <c r="J20" i="3"/>
  <c r="J22" i="3"/>
  <c r="I14" i="3"/>
  <c r="J14" i="3"/>
  <c r="K42" i="1" l="1"/>
  <c r="K51" i="4"/>
  <c r="AX42" i="4"/>
  <c r="AY42" i="4"/>
  <c r="K56" i="4"/>
  <c r="K41" i="1"/>
  <c r="K50" i="4"/>
  <c r="AX41" i="4"/>
  <c r="AZ41" i="4" s="1"/>
  <c r="AY41" i="4"/>
  <c r="K55" i="4"/>
  <c r="I16" i="3"/>
  <c r="H16" i="3"/>
  <c r="N57" i="3"/>
  <c r="J15" i="3"/>
  <c r="J16" i="3" s="1"/>
  <c r="J29" i="3"/>
  <c r="H29" i="3"/>
  <c r="AZ42" i="4" l="1"/>
  <c r="BC55" i="4"/>
  <c r="AR55" i="1" s="1"/>
  <c r="AX55" i="4"/>
  <c r="K63" i="4"/>
  <c r="AY55" i="4"/>
  <c r="AN55" i="1" s="1"/>
  <c r="I55" i="1"/>
  <c r="I63" i="1" s="1"/>
  <c r="AX56" i="4"/>
  <c r="BC56" i="4"/>
  <c r="AR56" i="1" s="1"/>
  <c r="I56" i="1"/>
  <c r="AY56" i="4"/>
  <c r="AN56" i="1" s="1"/>
  <c r="N58" i="3"/>
  <c r="N53" i="3"/>
  <c r="AY63" i="4" l="1"/>
  <c r="AX63" i="4"/>
  <c r="AZ63" i="4" s="1"/>
  <c r="BA63" i="4" s="1"/>
  <c r="AZ56" i="4"/>
  <c r="AM56" i="1"/>
  <c r="AM55" i="1"/>
  <c r="AZ55" i="4"/>
  <c r="AR63" i="1"/>
  <c r="AN63" i="1"/>
  <c r="AR65" i="4"/>
  <c r="X65" i="1"/>
  <c r="I65" i="1"/>
  <c r="AC65" i="1"/>
  <c r="W65" i="1"/>
  <c r="AV65" i="1" s="1"/>
  <c r="B55" i="3" s="1"/>
  <c r="E32" i="3" s="1"/>
  <c r="E65" i="1"/>
  <c r="R65" i="1"/>
  <c r="AB65" i="1"/>
  <c r="U65" i="1"/>
  <c r="O65" i="1"/>
  <c r="K65" i="1"/>
  <c r="AD65" i="1"/>
  <c r="N65" i="1"/>
  <c r="J65" i="1"/>
  <c r="AI55" i="1" l="1"/>
  <c r="BA55" i="4"/>
  <c r="AP55" i="1" s="1"/>
  <c r="AJ55" i="1"/>
  <c r="AO55" i="1"/>
  <c r="H55" i="1"/>
  <c r="F55" i="1"/>
  <c r="F63" i="1" s="1"/>
  <c r="K55" i="1"/>
  <c r="J55" i="1"/>
  <c r="J63" i="1" s="1"/>
  <c r="AB55" i="1"/>
  <c r="AB63" i="1" s="1"/>
  <c r="Q55" i="1"/>
  <c r="G55" i="1"/>
  <c r="AS55" i="1"/>
  <c r="AS63" i="1" s="1"/>
  <c r="X55" i="1"/>
  <c r="D55" i="1"/>
  <c r="D63" i="1" s="1"/>
  <c r="AL55" i="1"/>
  <c r="T55" i="1"/>
  <c r="T63" i="1" s="1"/>
  <c r="AF55" i="1"/>
  <c r="N55" i="1"/>
  <c r="L55" i="1"/>
  <c r="Z55" i="1"/>
  <c r="AD55" i="1"/>
  <c r="AD63" i="1" s="1"/>
  <c r="AK55" i="1"/>
  <c r="AK63" i="1" s="1"/>
  <c r="AH55" i="1"/>
  <c r="AH63" i="1" s="1"/>
  <c r="AI56" i="1"/>
  <c r="BA56" i="4"/>
  <c r="AP56" i="1" s="1"/>
  <c r="L56" i="1"/>
  <c r="D56" i="1"/>
  <c r="G56" i="1"/>
  <c r="AS56" i="1"/>
  <c r="X56" i="1"/>
  <c r="P56" i="1"/>
  <c r="P63" i="1" s="1"/>
  <c r="N56" i="1"/>
  <c r="J56" i="1"/>
  <c r="AJ56" i="1"/>
  <c r="Q56" i="1"/>
  <c r="V56" i="1"/>
  <c r="V63" i="1" s="1"/>
  <c r="K56" i="1"/>
  <c r="H56" i="1"/>
  <c r="AL56" i="1"/>
  <c r="AO56" i="1"/>
  <c r="S56" i="1"/>
  <c r="S63" i="1" s="1"/>
  <c r="AF56" i="1"/>
  <c r="T56" i="1"/>
  <c r="Z56" i="1"/>
  <c r="AK56" i="1"/>
  <c r="AM63" i="1"/>
  <c r="F33" i="3"/>
  <c r="J35" i="3" s="1"/>
  <c r="F38" i="3"/>
  <c r="J38" i="3" s="1"/>
  <c r="AV6" i="1"/>
  <c r="L63" i="1" l="1"/>
  <c r="AL63" i="1"/>
  <c r="G63" i="1"/>
  <c r="K63" i="1"/>
  <c r="AJ63" i="1"/>
  <c r="N63" i="1"/>
  <c r="Q63" i="1"/>
  <c r="AP63" i="1"/>
  <c r="Z63" i="1"/>
  <c r="AO63" i="1"/>
  <c r="AF63" i="1"/>
  <c r="X63" i="1"/>
  <c r="H63" i="1"/>
  <c r="AI63" i="1"/>
  <c r="J40" i="3"/>
  <c r="H35" i="3"/>
  <c r="I35" i="3"/>
  <c r="H38" i="3"/>
  <c r="I38" i="3"/>
  <c r="H40" i="3" l="1"/>
  <c r="I40" i="3"/>
  <c r="I42" i="3" s="1"/>
  <c r="I44" i="3" s="1"/>
  <c r="N59" i="3"/>
  <c r="N60" i="3" s="1"/>
  <c r="J42" i="3"/>
  <c r="J44" i="3" s="1"/>
  <c r="N61" i="3" s="1"/>
  <c r="N54" i="3" l="1"/>
  <c r="N55" i="3" s="1"/>
  <c r="N56" i="3" s="1"/>
  <c r="H42" i="3"/>
  <c r="H44" i="3" s="1"/>
</calcChain>
</file>

<file path=xl/comments1.xml><?xml version="1.0" encoding="utf-8"?>
<comments xmlns="http://schemas.openxmlformats.org/spreadsheetml/2006/main">
  <authors>
    <author>William F Lazarus</author>
  </authors>
  <commentList>
    <comment ref="F14" authorId="0" shapeId="0">
      <text>
        <r>
          <rPr>
            <b/>
            <sz val="9"/>
            <color indexed="81"/>
            <rFont val="Tahoma"/>
            <family val="2"/>
          </rPr>
          <t>William F Lazarus:</t>
        </r>
        <r>
          <rPr>
            <sz val="9"/>
            <color indexed="81"/>
            <rFont val="Tahoma"/>
            <family val="2"/>
          </rPr>
          <t xml:space="preserve">
I wasn't sure what the second part of the note meant.</t>
        </r>
      </text>
    </comment>
    <comment ref="X16" authorId="0" shapeId="0">
      <text>
        <r>
          <rPr>
            <b/>
            <sz val="9"/>
            <color indexed="81"/>
            <rFont val="Tahoma"/>
            <family val="2"/>
          </rPr>
          <t>William F Lazarus:</t>
        </r>
        <r>
          <rPr>
            <sz val="9"/>
            <color indexed="81"/>
            <rFont val="Tahoma"/>
            <family val="2"/>
          </rPr>
          <t xml:space="preserve">
The response was no, but they spent $540,000 for the building, so this should really be "yes".</t>
        </r>
      </text>
    </comment>
    <comment ref="P23" authorId="0" shapeId="0">
      <text>
        <r>
          <rPr>
            <b/>
            <sz val="9"/>
            <color indexed="81"/>
            <rFont val="Tahoma"/>
            <family val="2"/>
          </rPr>
          <t>William F Lazarus:</t>
        </r>
        <r>
          <rPr>
            <sz val="9"/>
            <color indexed="81"/>
            <rFont val="Tahoma"/>
            <family val="2"/>
          </rPr>
          <t xml:space="preserve">
pen was in 4/12
medicator was 10/10</t>
        </r>
      </text>
    </comment>
    <comment ref="R23" authorId="0" shapeId="0">
      <text>
        <r>
          <rPr>
            <b/>
            <sz val="9"/>
            <color indexed="81"/>
            <rFont val="Tahoma"/>
            <family val="2"/>
          </rPr>
          <t>William F Lazarus:</t>
        </r>
        <r>
          <rPr>
            <sz val="9"/>
            <color indexed="81"/>
            <rFont val="Tahoma"/>
            <family val="2"/>
          </rPr>
          <t xml:space="preserve">
7/2012 &amp; 6/13</t>
        </r>
      </text>
    </comment>
    <comment ref="X40" authorId="0" shapeId="0">
      <text>
        <r>
          <rPr>
            <b/>
            <sz val="9"/>
            <color indexed="81"/>
            <rFont val="Tahoma"/>
            <family val="2"/>
          </rPr>
          <t>William F Lazarus:</t>
        </r>
        <r>
          <rPr>
            <sz val="9"/>
            <color indexed="81"/>
            <rFont val="Tahoma"/>
            <family val="2"/>
          </rPr>
          <t xml:space="preserve">
assume per calf</t>
        </r>
      </text>
    </comment>
    <comment ref="AI42" authorId="0" shapeId="0">
      <text>
        <r>
          <rPr>
            <b/>
            <sz val="9"/>
            <color indexed="81"/>
            <rFont val="Tahoma"/>
            <family val="2"/>
          </rPr>
          <t>William F Lazarus:</t>
        </r>
        <r>
          <rPr>
            <sz val="9"/>
            <color indexed="81"/>
            <rFont val="Tahoma"/>
            <family val="2"/>
          </rPr>
          <t xml:space="preserve">
reported $25/day.  Divided by 50 calves and assumed 60 days on feeder</t>
        </r>
      </text>
    </comment>
    <comment ref="AI45" authorId="0" shapeId="0">
      <text>
        <r>
          <rPr>
            <b/>
            <sz val="9"/>
            <color indexed="81"/>
            <rFont val="Tahoma"/>
            <family val="2"/>
          </rPr>
          <t>William F Lazarus:</t>
        </r>
        <r>
          <rPr>
            <sz val="9"/>
            <color indexed="81"/>
            <rFont val="Tahoma"/>
            <family val="2"/>
          </rPr>
          <t xml:space="preserve">
reported $25/day.  Divided by 50 calves and assumed 60 days on feeder</t>
        </r>
      </text>
    </comment>
    <comment ref="D65" authorId="0" shapeId="0">
      <text>
        <r>
          <rPr>
            <b/>
            <sz val="9"/>
            <color indexed="81"/>
            <rFont val="Tahoma"/>
            <family val="2"/>
          </rPr>
          <t>William F Lazarus:</t>
        </r>
        <r>
          <rPr>
            <sz val="9"/>
            <color indexed="81"/>
            <rFont val="Tahoma"/>
            <family val="2"/>
          </rPr>
          <t xml:space="preserve">
assumed
</t>
        </r>
      </text>
    </comment>
    <comment ref="I65" authorId="0" shapeId="0">
      <text>
        <r>
          <rPr>
            <b/>
            <sz val="9"/>
            <color indexed="81"/>
            <rFont val="Tahoma"/>
            <family val="2"/>
          </rPr>
          <t>William F Lazarus:</t>
        </r>
        <r>
          <rPr>
            <sz val="9"/>
            <color indexed="81"/>
            <rFont val="Tahoma"/>
            <family val="2"/>
          </rPr>
          <t xml:space="preserve">
not filled out, assumed</t>
        </r>
      </text>
    </comment>
    <comment ref="J65" authorId="0" shapeId="0">
      <text>
        <r>
          <rPr>
            <b/>
            <sz val="9"/>
            <color indexed="81"/>
            <rFont val="Tahoma"/>
            <family val="2"/>
          </rPr>
          <t>William F Lazarus:</t>
        </r>
        <r>
          <rPr>
            <sz val="9"/>
            <color indexed="81"/>
            <rFont val="Tahoma"/>
            <family val="2"/>
          </rPr>
          <t xml:space="preserve">
not filled out, assumed</t>
        </r>
      </text>
    </comment>
    <comment ref="K65" authorId="0" shapeId="0">
      <text>
        <r>
          <rPr>
            <b/>
            <sz val="9"/>
            <color indexed="81"/>
            <rFont val="Tahoma"/>
            <family val="2"/>
          </rPr>
          <t>William F Lazarus:</t>
        </r>
        <r>
          <rPr>
            <sz val="9"/>
            <color indexed="81"/>
            <rFont val="Tahoma"/>
            <family val="2"/>
          </rPr>
          <t xml:space="preserve">
not filled out, assumed</t>
        </r>
      </text>
    </comment>
    <comment ref="P65" authorId="0" shapeId="0">
      <text>
        <r>
          <rPr>
            <b/>
            <sz val="9"/>
            <color indexed="81"/>
            <rFont val="Tahoma"/>
            <family val="2"/>
          </rPr>
          <t>William F Lazarus:</t>
        </r>
        <r>
          <rPr>
            <sz val="9"/>
            <color indexed="81"/>
            <rFont val="Tahoma"/>
            <family val="2"/>
          </rPr>
          <t xml:space="preserve">
not filled out, assumed</t>
        </r>
      </text>
    </comment>
    <comment ref="AO65" authorId="0" shapeId="0">
      <text>
        <r>
          <rPr>
            <b/>
            <sz val="9"/>
            <color indexed="81"/>
            <rFont val="Tahoma"/>
            <family val="2"/>
          </rPr>
          <t>William F Lazarus:</t>
        </r>
        <r>
          <rPr>
            <sz val="9"/>
            <color indexed="81"/>
            <rFont val="Tahoma"/>
            <family val="2"/>
          </rPr>
          <t xml:space="preserve">
not filled out, assumed</t>
        </r>
      </text>
    </comment>
  </commentList>
</comments>
</file>

<file path=xl/comments2.xml><?xml version="1.0" encoding="utf-8"?>
<comments xmlns="http://schemas.openxmlformats.org/spreadsheetml/2006/main">
  <authors>
    <author>William F Lazarus</author>
  </authors>
  <commentList>
    <comment ref="AI14" authorId="0" shapeId="0">
      <text>
        <r>
          <rPr>
            <b/>
            <sz val="9"/>
            <color indexed="81"/>
            <rFont val="Tahoma"/>
            <family val="2"/>
          </rPr>
          <t>William F Lazarus:</t>
        </r>
        <r>
          <rPr>
            <sz val="9"/>
            <color indexed="81"/>
            <rFont val="Tahoma"/>
            <family val="2"/>
          </rPr>
          <t xml:space="preserve">
I wasn't sure what the second part of the note meant.</t>
        </r>
      </text>
    </comment>
    <comment ref="W16" authorId="0" shapeId="0">
      <text>
        <r>
          <rPr>
            <b/>
            <sz val="9"/>
            <color indexed="81"/>
            <rFont val="Tahoma"/>
            <family val="2"/>
          </rPr>
          <t>William F Lazarus:</t>
        </r>
        <r>
          <rPr>
            <sz val="9"/>
            <color indexed="81"/>
            <rFont val="Tahoma"/>
            <family val="2"/>
          </rPr>
          <t xml:space="preserve">
The response was no, but they spent $540,000 for the building, so this should really be "yes".</t>
        </r>
      </text>
    </comment>
    <comment ref="Q23" authorId="0" shapeId="0">
      <text>
        <r>
          <rPr>
            <b/>
            <sz val="9"/>
            <color indexed="81"/>
            <rFont val="Tahoma"/>
            <family val="2"/>
          </rPr>
          <t>William F Lazarus:</t>
        </r>
        <r>
          <rPr>
            <sz val="9"/>
            <color indexed="81"/>
            <rFont val="Tahoma"/>
            <family val="2"/>
          </rPr>
          <t xml:space="preserve">
pen was in 4/12
medicator was 10/10</t>
        </r>
      </text>
    </comment>
    <comment ref="S23" authorId="0" shapeId="0">
      <text>
        <r>
          <rPr>
            <b/>
            <sz val="9"/>
            <color indexed="81"/>
            <rFont val="Tahoma"/>
            <family val="2"/>
          </rPr>
          <t>William F Lazarus:</t>
        </r>
        <r>
          <rPr>
            <sz val="9"/>
            <color indexed="81"/>
            <rFont val="Tahoma"/>
            <family val="2"/>
          </rPr>
          <t xml:space="preserve">
7/2012 &amp; 6/13</t>
        </r>
      </text>
    </comment>
    <comment ref="E65" authorId="0" shapeId="0">
      <text>
        <r>
          <rPr>
            <b/>
            <sz val="9"/>
            <color indexed="81"/>
            <rFont val="Tahoma"/>
            <family val="2"/>
          </rPr>
          <t>William F Lazarus:</t>
        </r>
        <r>
          <rPr>
            <sz val="9"/>
            <color indexed="81"/>
            <rFont val="Tahoma"/>
            <family val="2"/>
          </rPr>
          <t xml:space="preserve">
assumed
</t>
        </r>
      </text>
    </comment>
    <comment ref="I65" authorId="0" shapeId="0">
      <text>
        <r>
          <rPr>
            <b/>
            <sz val="9"/>
            <color indexed="81"/>
            <rFont val="Tahoma"/>
            <family val="2"/>
          </rPr>
          <t>William F Lazarus:</t>
        </r>
        <r>
          <rPr>
            <sz val="9"/>
            <color indexed="81"/>
            <rFont val="Tahoma"/>
            <family val="2"/>
          </rPr>
          <t xml:space="preserve">
assumed
</t>
        </r>
      </text>
    </comment>
    <comment ref="J65" authorId="0" shapeId="0">
      <text>
        <r>
          <rPr>
            <b/>
            <sz val="9"/>
            <color indexed="81"/>
            <rFont val="Tahoma"/>
            <family val="2"/>
          </rPr>
          <t>William F Lazarus:</t>
        </r>
        <r>
          <rPr>
            <sz val="9"/>
            <color indexed="81"/>
            <rFont val="Tahoma"/>
            <family val="2"/>
          </rPr>
          <t xml:space="preserve">
assumed
</t>
        </r>
      </text>
    </comment>
    <comment ref="K65" authorId="0" shapeId="0">
      <text>
        <r>
          <rPr>
            <b/>
            <sz val="9"/>
            <color indexed="81"/>
            <rFont val="Tahoma"/>
            <family val="2"/>
          </rPr>
          <t>William F Lazarus:</t>
        </r>
        <r>
          <rPr>
            <sz val="9"/>
            <color indexed="81"/>
            <rFont val="Tahoma"/>
            <family val="2"/>
          </rPr>
          <t xml:space="preserve">
assumed
</t>
        </r>
      </text>
    </comment>
    <comment ref="L65" authorId="0" shapeId="0">
      <text>
        <r>
          <rPr>
            <b/>
            <sz val="9"/>
            <color indexed="81"/>
            <rFont val="Tahoma"/>
            <family val="2"/>
          </rPr>
          <t>William F Lazarus:</t>
        </r>
        <r>
          <rPr>
            <sz val="9"/>
            <color indexed="81"/>
            <rFont val="Tahoma"/>
            <family val="2"/>
          </rPr>
          <t xml:space="preserve">
not filled out, assumed</t>
        </r>
      </text>
    </comment>
    <comment ref="N65" authorId="0" shapeId="0">
      <text>
        <r>
          <rPr>
            <b/>
            <sz val="9"/>
            <color indexed="81"/>
            <rFont val="Tahoma"/>
            <family val="2"/>
          </rPr>
          <t>William F Lazarus:</t>
        </r>
        <r>
          <rPr>
            <sz val="9"/>
            <color indexed="81"/>
            <rFont val="Tahoma"/>
            <family val="2"/>
          </rPr>
          <t xml:space="preserve">
assumed
</t>
        </r>
      </text>
    </comment>
    <comment ref="O65" authorId="0" shapeId="0">
      <text>
        <r>
          <rPr>
            <b/>
            <sz val="9"/>
            <color indexed="81"/>
            <rFont val="Tahoma"/>
            <family val="2"/>
          </rPr>
          <t>William F Lazarus:</t>
        </r>
        <r>
          <rPr>
            <sz val="9"/>
            <color indexed="81"/>
            <rFont val="Tahoma"/>
            <family val="2"/>
          </rPr>
          <t xml:space="preserve">
assumed
</t>
        </r>
      </text>
    </comment>
    <comment ref="Q65" authorId="0" shapeId="0">
      <text>
        <r>
          <rPr>
            <b/>
            <sz val="9"/>
            <color indexed="81"/>
            <rFont val="Tahoma"/>
            <family val="2"/>
          </rPr>
          <t>William F Lazarus:</t>
        </r>
        <r>
          <rPr>
            <sz val="9"/>
            <color indexed="81"/>
            <rFont val="Tahoma"/>
            <family val="2"/>
          </rPr>
          <t xml:space="preserve">
not filled out, assumed</t>
        </r>
      </text>
    </comment>
    <comment ref="R65" authorId="0" shapeId="0">
      <text>
        <r>
          <rPr>
            <b/>
            <sz val="9"/>
            <color indexed="81"/>
            <rFont val="Tahoma"/>
            <family val="2"/>
          </rPr>
          <t>William F Lazarus:</t>
        </r>
        <r>
          <rPr>
            <sz val="9"/>
            <color indexed="81"/>
            <rFont val="Tahoma"/>
            <family val="2"/>
          </rPr>
          <t xml:space="preserve">
assumed
</t>
        </r>
      </text>
    </comment>
    <comment ref="U65" authorId="0" shapeId="0">
      <text>
        <r>
          <rPr>
            <b/>
            <sz val="9"/>
            <color indexed="81"/>
            <rFont val="Tahoma"/>
            <family val="2"/>
          </rPr>
          <t>William F Lazarus:</t>
        </r>
        <r>
          <rPr>
            <sz val="9"/>
            <color indexed="81"/>
            <rFont val="Tahoma"/>
            <family val="2"/>
          </rPr>
          <t xml:space="preserve">
assumed
</t>
        </r>
      </text>
    </comment>
    <comment ref="W65" authorId="0" shapeId="0">
      <text>
        <r>
          <rPr>
            <b/>
            <sz val="9"/>
            <color indexed="81"/>
            <rFont val="Tahoma"/>
            <family val="2"/>
          </rPr>
          <t>William F Lazarus:</t>
        </r>
        <r>
          <rPr>
            <sz val="9"/>
            <color indexed="81"/>
            <rFont val="Tahoma"/>
            <family val="2"/>
          </rPr>
          <t xml:space="preserve">
assumed
</t>
        </r>
      </text>
    </comment>
    <comment ref="X65" authorId="0" shapeId="0">
      <text>
        <r>
          <rPr>
            <b/>
            <sz val="9"/>
            <color indexed="81"/>
            <rFont val="Tahoma"/>
            <family val="2"/>
          </rPr>
          <t>William F Lazarus:</t>
        </r>
        <r>
          <rPr>
            <sz val="9"/>
            <color indexed="81"/>
            <rFont val="Tahoma"/>
            <family val="2"/>
          </rPr>
          <t xml:space="preserve">
assumed
</t>
        </r>
      </text>
    </comment>
    <comment ref="AB65" authorId="0" shapeId="0">
      <text>
        <r>
          <rPr>
            <b/>
            <sz val="9"/>
            <color indexed="81"/>
            <rFont val="Tahoma"/>
            <family val="2"/>
          </rPr>
          <t>William F Lazarus:</t>
        </r>
        <r>
          <rPr>
            <sz val="9"/>
            <color indexed="81"/>
            <rFont val="Tahoma"/>
            <family val="2"/>
          </rPr>
          <t xml:space="preserve">
assumed
</t>
        </r>
      </text>
    </comment>
    <comment ref="AC65" authorId="0" shapeId="0">
      <text>
        <r>
          <rPr>
            <b/>
            <sz val="9"/>
            <color indexed="81"/>
            <rFont val="Tahoma"/>
            <family val="2"/>
          </rPr>
          <t>William F Lazarus:</t>
        </r>
        <r>
          <rPr>
            <sz val="9"/>
            <color indexed="81"/>
            <rFont val="Tahoma"/>
            <family val="2"/>
          </rPr>
          <t xml:space="preserve">
assumed
</t>
        </r>
      </text>
    </comment>
    <comment ref="AD65" authorId="0" shapeId="0">
      <text>
        <r>
          <rPr>
            <b/>
            <sz val="9"/>
            <color indexed="81"/>
            <rFont val="Tahoma"/>
            <family val="2"/>
          </rPr>
          <t>William F Lazarus:</t>
        </r>
        <r>
          <rPr>
            <sz val="9"/>
            <color indexed="81"/>
            <rFont val="Tahoma"/>
            <family val="2"/>
          </rPr>
          <t xml:space="preserve">
assumed
</t>
        </r>
      </text>
    </comment>
  </commentList>
</comments>
</file>

<file path=xl/comments3.xml><?xml version="1.0" encoding="utf-8"?>
<comments xmlns="http://schemas.openxmlformats.org/spreadsheetml/2006/main">
  <authors>
    <author>William F Lazarus</author>
  </authors>
  <commentList>
    <comment ref="H3" authorId="0" shapeId="0">
      <text>
        <r>
          <rPr>
            <b/>
            <sz val="9"/>
            <color indexed="81"/>
            <rFont val="Tahoma"/>
            <family val="2"/>
          </rPr>
          <t>William F Lazarus:</t>
        </r>
        <r>
          <rPr>
            <sz val="9"/>
            <color indexed="81"/>
            <rFont val="Tahoma"/>
            <family val="2"/>
          </rPr>
          <t xml:space="preserve">
placeholder, 4/30/14
</t>
        </r>
      </text>
    </comment>
    <comment ref="H5" authorId="0" shapeId="0">
      <text>
        <r>
          <rPr>
            <b/>
            <sz val="9"/>
            <color indexed="81"/>
            <rFont val="Tahoma"/>
            <family val="2"/>
          </rPr>
          <t>William F Lazarus:</t>
        </r>
        <r>
          <rPr>
            <sz val="9"/>
            <color indexed="81"/>
            <rFont val="Tahoma"/>
            <family val="2"/>
          </rPr>
          <t xml:space="preserve">
placeholder, 4/30/14
</t>
        </r>
      </text>
    </comment>
    <comment ref="F31" authorId="0" shapeId="0">
      <text>
        <r>
          <rPr>
            <b/>
            <sz val="9"/>
            <color indexed="81"/>
            <rFont val="Tahoma"/>
            <family val="2"/>
          </rPr>
          <t>William F Lazarus:</t>
        </r>
        <r>
          <rPr>
            <sz val="9"/>
            <color indexed="81"/>
            <rFont val="Tahoma"/>
            <family val="2"/>
          </rPr>
          <t xml:space="preserve">
capital service cost, to pay off the investment over the assumed life (mortgage payment), equivalent to depreciation plus interest</t>
        </r>
      </text>
    </comment>
    <comment ref="D38" authorId="0" shapeId="0">
      <text>
        <r>
          <rPr>
            <b/>
            <sz val="9"/>
            <color indexed="81"/>
            <rFont val="Tahoma"/>
            <family val="2"/>
          </rPr>
          <t>William F Lazarus:</t>
        </r>
        <r>
          <rPr>
            <sz val="9"/>
            <color indexed="81"/>
            <rFont val="Tahoma"/>
            <family val="2"/>
          </rPr>
          <t xml:space="preserve">
The building life is truncated if not an even multiple of the feeder life.</t>
        </r>
      </text>
    </comment>
  </commentList>
</comments>
</file>

<file path=xl/sharedStrings.xml><?xml version="1.0" encoding="utf-8"?>
<sst xmlns="http://schemas.openxmlformats.org/spreadsheetml/2006/main" count="940" uniqueCount="246">
  <si>
    <t>Questionnaire on automated calf feeders and associated group housing facilities, for project cooperator dairy operations.</t>
  </si>
  <si>
    <t>Questions</t>
  </si>
  <si>
    <t>Answers</t>
  </si>
  <si>
    <t>Farm identification</t>
  </si>
  <si>
    <t>What is the make and model of the feeder installed?</t>
  </si>
  <si>
    <t>How many calves are being fed with the feeder currently?</t>
  </si>
  <si>
    <t>If the current number of calves is different from what you intend to feed over the long run, how many calves do you plan to feed with the feeder once those longer-run adjustments are completed?</t>
  </si>
  <si>
    <t>Did you need to make changes to a building to house the calves and feeder?</t>
  </si>
  <si>
    <t>If so, describe the changes to the building.  For example, did you remodel an existing building, or construct a new building?</t>
  </si>
  <si>
    <t>Initial investment required to get the feeder and group housing into operation</t>
  </si>
  <si>
    <t>How much did the automated calf feeder cost to purchase and install?</t>
  </si>
  <si>
    <t>How much did it cost for the building and any equipment other than the feeder itself that was required?</t>
  </si>
  <si>
    <t>Have you installed any major, additional features or add-ons to the feeder after the initial installation?</t>
  </si>
  <si>
    <t>If so, when did you install those features or add-ons?</t>
  </si>
  <si>
    <t>How much did the features or add-ons cost?</t>
  </si>
  <si>
    <t>What do you expect the useful life of the feeder to be (years)?</t>
  </si>
  <si>
    <t>If you expect the building changes to last longer than the feeder itself, what do you expect the useful life of the building to be?</t>
  </si>
  <si>
    <t>What do you expect the useful life of the features or add-ons to be, if less than the feeder itself (years)?</t>
  </si>
  <si>
    <t>Annual operating costs</t>
  </si>
  <si>
    <t>How much do routine feeder maintenance and repairs cost per year for the feeder, not including labor provided by the regular farm workforce?</t>
  </si>
  <si>
    <t>- for the building and any other equipment associated with the feeder?</t>
  </si>
  <si>
    <t>How many hours did the farm's workers spend in the past year making repairs to feeder or doing other tasks apart from that regular daily care?</t>
  </si>
  <si>
    <t>Was last year typical of the time you have spent in previous years or that you expect to spend over the remaining years of the feeder life?  If not, how many hours do you think is typical?</t>
  </si>
  <si>
    <t>What cost or value do you place on the time spent by the farm's workers to care for the calves and the feeder including fringe benefits,  per hour?</t>
  </si>
  <si>
    <t>Value of the calves</t>
  </si>
  <si>
    <t>Mortality rate of calves while on the feeder, % of number entering</t>
  </si>
  <si>
    <t>Market value of a calf when placed on the feeder</t>
  </si>
  <si>
    <t>Market value of a calf when leaving the feeder</t>
  </si>
  <si>
    <t>Feed and supplies for the calves, apart from feeder maintenance and repairs</t>
  </si>
  <si>
    <r>
      <rPr>
        <u/>
        <sz val="11"/>
        <color theme="1"/>
        <rFont val="Calibri"/>
        <family val="2"/>
        <scheme val="minor"/>
      </rPr>
      <t>General information</t>
    </r>
    <r>
      <rPr>
        <sz val="11"/>
        <color theme="1"/>
        <rFont val="Calibri"/>
        <family val="2"/>
        <scheme val="minor"/>
      </rPr>
      <t xml:space="preserve"> - What is the opportunity cost (interest rate) you would place on the investment you made in the feeder, building, and related equipment (%/year)</t>
    </r>
  </si>
  <si>
    <t>Note:  I will calculate depreciation (straight-line economic depreciation) and interest on average investment based on the useful lives entered above, and based on this interest rate.</t>
  </si>
  <si>
    <t>Urban U-40</t>
  </si>
  <si>
    <t>- month</t>
  </si>
  <si>
    <t>When did you put the feeder into operation?                            - year</t>
  </si>
  <si>
    <t>Feeders now</t>
  </si>
  <si>
    <t>Feeders planned for the long run</t>
  </si>
  <si>
    <t>yes</t>
  </si>
  <si>
    <t>see q</t>
  </si>
  <si>
    <t>no</t>
  </si>
  <si>
    <t>Feed, $/day/hd</t>
  </si>
  <si>
    <t>Fuel &amp; oil $/yr</t>
  </si>
  <si>
    <t>Utilities $/yr</t>
  </si>
  <si>
    <t>Building lease costs $/yr</t>
  </si>
  <si>
    <t>Farm insurance $/yr</t>
  </si>
  <si>
    <t>Bedding $/hd/day</t>
  </si>
  <si>
    <t>Column in database</t>
  </si>
  <si>
    <t>Income or expense item</t>
  </si>
  <si>
    <t>Rate/calf</t>
  </si>
  <si>
    <t>Amount/ year</t>
  </si>
  <si>
    <t>Income</t>
  </si>
  <si>
    <t>Expenses</t>
  </si>
  <si>
    <t>Cost of raising dairy calves using an automatic feeder, per calf placed on feeder</t>
  </si>
  <si>
    <t>Calves raised/year</t>
  </si>
  <si>
    <t>Calves on the feeder(s) at one time</t>
  </si>
  <si>
    <t>Days required per group of calves, including days on the feeder and cleaning days between groups</t>
  </si>
  <si>
    <t>Calves fed per year</t>
  </si>
  <si>
    <t>Income or expense/ calf</t>
  </si>
  <si>
    <t>Income or expense/ year</t>
  </si>
  <si>
    <t>Income or expense/ group</t>
  </si>
  <si>
    <t>Amount/ group</t>
  </si>
  <si>
    <t>Days on feed/group</t>
  </si>
  <si>
    <t>Days between groups for cleaning, etc.</t>
  </si>
  <si>
    <t>Groups fed/year</t>
  </si>
  <si>
    <t>Calf feeder annualized cost calculations</t>
  </si>
  <si>
    <t>Number of feeders during building life</t>
  </si>
  <si>
    <t>Building life assumed for cost analysis, years</t>
  </si>
  <si>
    <t>Opportunity cost interest rate, %/year</t>
  </si>
  <si>
    <t>CSC, %/year</t>
  </si>
  <si>
    <t>Invest- ment</t>
  </si>
  <si>
    <t>Useful life, years</t>
  </si>
  <si>
    <t>Feeder</t>
  </si>
  <si>
    <t>Building</t>
  </si>
  <si>
    <t>Additional features or add-ons</t>
  </si>
  <si>
    <t>Feeder plus add-ons</t>
  </si>
  <si>
    <t>Total feeder and extra building costs</t>
  </si>
  <si>
    <t>Total operating and feeder costs</t>
  </si>
  <si>
    <t>1 long term</t>
  </si>
  <si>
    <t>Column number in the database</t>
  </si>
  <si>
    <t>Net return/calf</t>
  </si>
  <si>
    <t>Net return</t>
  </si>
  <si>
    <t>Net return/farm/year</t>
  </si>
  <si>
    <t>Delaval CF1000</t>
  </si>
  <si>
    <t>Lely Calm</t>
  </si>
  <si>
    <t>Veterinary/vac., $/hd</t>
  </si>
  <si>
    <t>Supplies $/hd</t>
  </si>
  <si>
    <t>Operating cost/calf</t>
  </si>
  <si>
    <t>Mkt value of a calf leaving feeder</t>
  </si>
  <si>
    <t>8 long term</t>
  </si>
  <si>
    <t>Miscellaneous $/yr</t>
  </si>
  <si>
    <t>Forester Technik DeLaval CF1000</t>
  </si>
  <si>
    <t>How much time does the regular farm workforce spend taking care of the calves and feeder per day? Hours</t>
  </si>
  <si>
    <t>DeLaval CF1000</t>
  </si>
  <si>
    <t>dry medicator</t>
  </si>
  <si>
    <t>Lely</t>
  </si>
  <si>
    <t>11 long term</t>
  </si>
  <si>
    <t>13 long term</t>
  </si>
  <si>
    <t>added two more stations</t>
  </si>
  <si>
    <t>Surge</t>
  </si>
  <si>
    <t>add'l pen &amp; medicator</t>
  </si>
  <si>
    <t>milk repl ext &amp; medicator</t>
  </si>
  <si>
    <t>Westfalia Surge/Forester Tecknik</t>
  </si>
  <si>
    <t>dry/powder medicator</t>
  </si>
  <si>
    <t>GEA</t>
  </si>
  <si>
    <t>DeLaval 1000+</t>
  </si>
  <si>
    <t>45 long term</t>
  </si>
  <si>
    <t>powder supplement meter</t>
  </si>
  <si>
    <t>DeLaval CF 1000</t>
  </si>
  <si>
    <t>est $30,000 labor savings/year</t>
  </si>
  <si>
    <t>DeLaval CF 1000+</t>
  </si>
  <si>
    <t>small bulk tank, included with bldg above</t>
  </si>
  <si>
    <t>feeding pump</t>
  </si>
  <si>
    <t>Holm-Laue HL100</t>
  </si>
  <si>
    <t>61 long term</t>
  </si>
  <si>
    <t>"r" = remodelled dairy barn, "n" = new building, "o" = other</t>
  </si>
  <si>
    <t>o</t>
  </si>
  <si>
    <t xml:space="preserve">n </t>
  </si>
  <si>
    <t>n</t>
  </si>
  <si>
    <t>r</t>
  </si>
  <si>
    <t>Q10 building costs</t>
  </si>
  <si>
    <t>sum</t>
  </si>
  <si>
    <t>count</t>
  </si>
  <si>
    <t>average</t>
  </si>
  <si>
    <t>Feeder &amp; bldg cost/calf</t>
  </si>
  <si>
    <t>Feeder &amp; bldg costs/year</t>
  </si>
  <si>
    <t>Mkt value of a calf entering feeder</t>
  </si>
  <si>
    <t>Total annual operating costs w/o calf</t>
  </si>
  <si>
    <t>Feed, $/yr</t>
  </si>
  <si>
    <t>Veterinary/vac., $/yr</t>
  </si>
  <si>
    <t>Supplies $/yr</t>
  </si>
  <si>
    <t>Bedding $/yr</t>
  </si>
  <si>
    <t>Feed, $/hd</t>
  </si>
  <si>
    <t>Fuel &amp; oil $/hd</t>
  </si>
  <si>
    <t>Utilities $/hd</t>
  </si>
  <si>
    <t>Bedding $/hd</t>
  </si>
  <si>
    <t>Building lease costs $/hd</t>
  </si>
  <si>
    <t>Farm insurance $/hd</t>
  </si>
  <si>
    <t>Miscellaneous $/hd</t>
  </si>
  <si>
    <t>Total operating costs $/hd w/o calf</t>
  </si>
  <si>
    <t>Total oper costs/year w/o feeder</t>
  </si>
  <si>
    <t>Total costs with feeder/year</t>
  </si>
  <si>
    <t>Increase in mkt value while on feeder</t>
  </si>
  <si>
    <t>Total oper &amp; feeder costs/calf</t>
  </si>
  <si>
    <t>Increase in value while on feeder</t>
  </si>
  <si>
    <t>Feeder &amp; bldg investment/farm</t>
  </si>
  <si>
    <t>Calves fed/year</t>
  </si>
  <si>
    <t xml:space="preserve">   </t>
  </si>
  <si>
    <t>by Bill Lazarus, 6/13/14</t>
  </si>
  <si>
    <t>Farm identification numbers from the questionnaires</t>
  </si>
  <si>
    <t>My numbers that I use to connect to the budget sheet calculations</t>
  </si>
  <si>
    <t>Mkt value/year farm total</t>
  </si>
  <si>
    <t>Calf survival rate</t>
  </si>
  <si>
    <t>Average long term, 6 farms</t>
  </si>
  <si>
    <t>Average current, 26 farms</t>
  </si>
  <si>
    <t>select a farm number from the dropdown list --&gt;</t>
  </si>
  <si>
    <t>D/CF1000</t>
  </si>
  <si>
    <t>medicator</t>
  </si>
  <si>
    <t>medical dispensers</t>
  </si>
  <si>
    <t>62 long term</t>
  </si>
  <si>
    <t>DeLaval</t>
  </si>
  <si>
    <t>?</t>
  </si>
  <si>
    <t>computer and calf mgmt system</t>
  </si>
  <si>
    <t>powder medicator</t>
  </si>
  <si>
    <t>Lely Combi</t>
  </si>
  <si>
    <t>40 long term</t>
  </si>
  <si>
    <t>Days on feeder/group</t>
  </si>
  <si>
    <t>Days per turn including cleanup</t>
  </si>
  <si>
    <t>Turns/year</t>
  </si>
  <si>
    <t>Farm</t>
  </si>
  <si>
    <t>Make/Model</t>
  </si>
  <si>
    <t>Urban/U-40</t>
  </si>
  <si>
    <t>DeLaval/CF1000</t>
  </si>
  <si>
    <t xml:space="preserve">Lely   </t>
  </si>
  <si>
    <t>Holm-Laue/HL100</t>
  </si>
  <si>
    <t>Start</t>
  </si>
  <si>
    <t>Calves</t>
  </si>
  <si>
    <t>20-25</t>
  </si>
  <si>
    <t>5 to 75</t>
  </si>
  <si>
    <t>75-100</t>
  </si>
  <si>
    <t>70-100</t>
  </si>
  <si>
    <t>90-100</t>
  </si>
  <si>
    <t>CalFeedFut</t>
  </si>
  <si>
    <t>N/A</t>
  </si>
  <si>
    <t>ChangBuild</t>
  </si>
  <si>
    <t>Yes</t>
  </si>
  <si>
    <t>No</t>
  </si>
  <si>
    <t>InitInvest</t>
  </si>
  <si>
    <t>CostFeeder</t>
  </si>
  <si>
    <t>CostOther</t>
  </si>
  <si>
    <t>Add-ons</t>
  </si>
  <si>
    <t>Medicator</t>
  </si>
  <si>
    <t>2 stations</t>
  </si>
  <si>
    <t>Add pen and medicator</t>
  </si>
  <si>
    <t>Milk replacer extent and medicator</t>
  </si>
  <si>
    <t>Powder Suppl meter</t>
  </si>
  <si>
    <t>Feeding pump</t>
  </si>
  <si>
    <t>Pasteurizer, milk holding tank and trasnf tank</t>
  </si>
  <si>
    <t>Calf Manager System</t>
  </si>
  <si>
    <t>CostAdd-ons</t>
  </si>
  <si>
    <t>LifeFeed(yr)</t>
  </si>
  <si>
    <t>10+</t>
  </si>
  <si>
    <t>10 to 15</t>
  </si>
  <si>
    <t>15 to 20</t>
  </si>
  <si>
    <t>8 to 10</t>
  </si>
  <si>
    <t>15-20</t>
  </si>
  <si>
    <t>LifeBuild(yr)</t>
  </si>
  <si>
    <t>20+</t>
  </si>
  <si>
    <t>30-40</t>
  </si>
  <si>
    <t>40+</t>
  </si>
  <si>
    <t>50+</t>
  </si>
  <si>
    <t>25+</t>
  </si>
  <si>
    <t>Forever</t>
  </si>
  <si>
    <t>LifeAdd-ons(yr)</t>
  </si>
  <si>
    <t>MaintFeed</t>
  </si>
  <si>
    <t>150-300</t>
  </si>
  <si>
    <t>MaintBuild</t>
  </si>
  <si>
    <t>CareCalFeed(min/day)</t>
  </si>
  <si>
    <t>120-180</t>
  </si>
  <si>
    <t>35-65</t>
  </si>
  <si>
    <t>60-90</t>
  </si>
  <si>
    <t>30-60</t>
  </si>
  <si>
    <t>RepFeed(hr/lastyr)</t>
  </si>
  <si>
    <t>5 to 6</t>
  </si>
  <si>
    <t>CostWork($/hr)</t>
  </si>
  <si>
    <t>Mortality</t>
  </si>
  <si>
    <t>7 calves last 3,5 years%</t>
  </si>
  <si>
    <t>ValPlaced</t>
  </si>
  <si>
    <t>ValLeav</t>
  </si>
  <si>
    <t>Feed</t>
  </si>
  <si>
    <t>Veterin/Vacci($/hd/yr)</t>
  </si>
  <si>
    <t>Supplies($/hd/yr)</t>
  </si>
  <si>
    <t>Fuel+oil($/yr)</t>
  </si>
  <si>
    <t>Utilities($/yr)</t>
  </si>
  <si>
    <t>Bedding($/hd/day)</t>
  </si>
  <si>
    <t>Buildlease($/yr)</t>
  </si>
  <si>
    <t>FarmInsur($/yr)</t>
  </si>
  <si>
    <t>Miscellan(%/month)</t>
  </si>
  <si>
    <t>OpportCost(%/yr)</t>
  </si>
  <si>
    <t>3,5%</t>
  </si>
  <si>
    <t>6,2%</t>
  </si>
  <si>
    <t>5,5%</t>
  </si>
  <si>
    <t>6-8%</t>
  </si>
  <si>
    <t>4,5%</t>
  </si>
  <si>
    <t>Q9 feeder costs</t>
  </si>
  <si>
    <t>min</t>
  </si>
  <si>
    <t>max</t>
  </si>
  <si>
    <t>Calves/feeder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</si>
</sst>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_(* #,##0_);_(* \(#,##0\);_(* &quot;-&quot;??_);_(@_)"/>
    <numFmt numFmtId="165" formatCode="&quot;$&quot;#,##0.00"/>
    <numFmt numFmtId="166" formatCode="&quot;$&quot;#,##0"/>
    <numFmt numFmtId="167" formatCode="0.0%"/>
    <numFmt numFmtId="168" formatCode="_(&quot;$&quot;* #,##0_);_(&quot;$&quot;* \(#,##0\);_(&quot;$&quot;* &quot;-&quot;??_);_(@_)"/>
  </numFmts>
  <fonts count="7" x14ac:knownFonts="1">
    <font>
      <sz val="11"/>
      <color theme="1"/>
      <name val="Calibri"/>
      <family val="2"/>
      <scheme val="minor"/>
    </font>
    <font>
      <u/>
      <sz val="11"/>
      <color theme="1"/>
      <name val="Calibri"/>
      <family val="2"/>
      <scheme val="minor"/>
    </font>
    <font>
      <sz val="10"/>
      <name val="Arial"/>
      <family val="2"/>
    </font>
    <font>
      <sz val="11"/>
      <color theme="1"/>
      <name val="Calibri"/>
      <family val="2"/>
      <scheme val="minor"/>
    </font>
    <font>
      <sz val="9"/>
      <color indexed="81"/>
      <name val="Tahoma"/>
      <family val="2"/>
    </font>
    <font>
      <b/>
      <sz val="9"/>
      <color indexed="81"/>
      <name val="Tahoma"/>
      <family val="2"/>
    </font>
    <font>
      <sz val="11"/>
      <color theme="0" tint="-0.249977111117893"/>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4">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cellStyleXfs>
  <cellXfs count="110">
    <xf numFmtId="0" fontId="0" fillId="0" borderId="0" xfId="0"/>
    <xf numFmtId="0" fontId="0" fillId="0" borderId="1" xfId="0" applyBorder="1" applyAlignment="1">
      <alignment wrapText="1"/>
    </xf>
    <xf numFmtId="0" fontId="0" fillId="2" borderId="1" xfId="0" applyFill="1" applyBorder="1"/>
    <xf numFmtId="0" fontId="1" fillId="0" borderId="1" xfId="0" applyFont="1" applyBorder="1" applyAlignment="1">
      <alignment wrapText="1"/>
    </xf>
    <xf numFmtId="0" fontId="0" fillId="0" borderId="1" xfId="0" applyBorder="1"/>
    <xf numFmtId="0" fontId="0" fillId="0" borderId="1" xfId="0" applyBorder="1" applyAlignment="1">
      <alignment horizontal="left" wrapText="1" indent="1"/>
    </xf>
    <xf numFmtId="0" fontId="0" fillId="0" borderId="1" xfId="0" quotePrefix="1" applyBorder="1" applyAlignment="1">
      <alignment horizontal="left" wrapText="1" indent="2"/>
    </xf>
    <xf numFmtId="0" fontId="0" fillId="2" borderId="1" xfId="0" applyFill="1" applyBorder="1" applyAlignment="1">
      <alignment wrapText="1"/>
    </xf>
    <xf numFmtId="0" fontId="0" fillId="0" borderId="1" xfId="0" applyFill="1" applyBorder="1" applyAlignment="1">
      <alignment horizontal="left" wrapText="1" indent="1"/>
    </xf>
    <xf numFmtId="0" fontId="1" fillId="0" borderId="1" xfId="0" applyFont="1" applyFill="1" applyBorder="1" applyAlignment="1">
      <alignment horizontal="left" wrapText="1" indent="1"/>
    </xf>
    <xf numFmtId="0" fontId="0" fillId="0" borderId="1" xfId="0" applyFill="1" applyBorder="1" applyAlignment="1">
      <alignment wrapText="1"/>
    </xf>
    <xf numFmtId="0" fontId="1" fillId="0" borderId="1" xfId="0" applyFont="1" applyFill="1" applyBorder="1" applyAlignment="1">
      <alignment horizontal="left" wrapText="1"/>
    </xf>
    <xf numFmtId="0" fontId="0" fillId="0" borderId="0" xfId="0" applyAlignment="1">
      <alignment wrapText="1"/>
    </xf>
    <xf numFmtId="0" fontId="0" fillId="0" borderId="1" xfId="0" applyFill="1" applyBorder="1" applyAlignment="1">
      <alignment horizontal="left" wrapText="1"/>
    </xf>
    <xf numFmtId="0" fontId="0" fillId="0" borderId="1" xfId="0" applyBorder="1" applyAlignment="1">
      <alignment horizontal="right"/>
    </xf>
    <xf numFmtId="0" fontId="0" fillId="0" borderId="1" xfId="0" quotePrefix="1" applyBorder="1" applyAlignment="1">
      <alignment horizontal="right"/>
    </xf>
    <xf numFmtId="0" fontId="0" fillId="2" borderId="0" xfId="0" applyFill="1"/>
    <xf numFmtId="0" fontId="1" fillId="0" borderId="0" xfId="0" applyFont="1"/>
    <xf numFmtId="0" fontId="0" fillId="0" borderId="0" xfId="0" applyFill="1"/>
    <xf numFmtId="43" fontId="0" fillId="0" borderId="0" xfId="11" applyFont="1" applyFill="1"/>
    <xf numFmtId="164" fontId="0" fillId="0" borderId="0" xfId="11" applyNumberFormat="1" applyFont="1" applyFill="1"/>
    <xf numFmtId="9" fontId="0" fillId="0" borderId="0" xfId="12" applyFont="1"/>
    <xf numFmtId="9" fontId="0" fillId="0" borderId="0" xfId="0" applyNumberFormat="1"/>
    <xf numFmtId="165" fontId="0" fillId="0" borderId="0" xfId="0" applyNumberFormat="1"/>
    <xf numFmtId="166" fontId="0" fillId="0" borderId="0" xfId="0" applyNumberFormat="1"/>
    <xf numFmtId="0" fontId="0" fillId="0" borderId="0" xfId="0" applyAlignment="1">
      <alignment horizontal="left" indent="1"/>
    </xf>
    <xf numFmtId="165" fontId="0" fillId="0" borderId="0" xfId="0" applyNumberFormat="1" applyAlignment="1">
      <alignment wrapText="1"/>
    </xf>
    <xf numFmtId="167" fontId="0" fillId="0" borderId="0" xfId="12" applyNumberFormat="1" applyFont="1"/>
    <xf numFmtId="0" fontId="0" fillId="0" borderId="0" xfId="0" applyFill="1" applyBorder="1"/>
    <xf numFmtId="0" fontId="0" fillId="2" borderId="1" xfId="0" quotePrefix="1" applyFill="1" applyBorder="1"/>
    <xf numFmtId="164" fontId="0" fillId="0" borderId="0" xfId="0" applyNumberFormat="1"/>
    <xf numFmtId="167" fontId="0" fillId="2" borderId="1" xfId="12" applyNumberFormat="1" applyFont="1" applyFill="1" applyBorder="1"/>
    <xf numFmtId="0" fontId="0" fillId="4" borderId="0" xfId="0" applyFill="1"/>
    <xf numFmtId="0" fontId="0" fillId="4" borderId="1" xfId="0" quotePrefix="1" applyFill="1" applyBorder="1"/>
    <xf numFmtId="0" fontId="0" fillId="4" borderId="1" xfId="0" applyFill="1" applyBorder="1"/>
    <xf numFmtId="0" fontId="0" fillId="4" borderId="1" xfId="0" applyFill="1" applyBorder="1" applyAlignment="1">
      <alignment wrapText="1"/>
    </xf>
    <xf numFmtId="167" fontId="0" fillId="4" borderId="1" xfId="12" applyNumberFormat="1" applyFont="1" applyFill="1" applyBorder="1"/>
    <xf numFmtId="164" fontId="0" fillId="2" borderId="1" xfId="11" applyNumberFormat="1" applyFont="1" applyFill="1" applyBorder="1" applyAlignment="1">
      <alignment wrapText="1"/>
    </xf>
    <xf numFmtId="0" fontId="0" fillId="2" borderId="1" xfId="0" applyFont="1" applyFill="1" applyBorder="1" applyAlignment="1">
      <alignment wrapText="1"/>
    </xf>
    <xf numFmtId="0" fontId="0" fillId="4" borderId="1" xfId="0" applyFont="1" applyFill="1" applyBorder="1" applyAlignment="1">
      <alignment wrapText="1"/>
    </xf>
    <xf numFmtId="10" fontId="0" fillId="0" borderId="0" xfId="12" applyNumberFormat="1" applyFont="1"/>
    <xf numFmtId="10" fontId="0" fillId="0" borderId="1" xfId="12" applyNumberFormat="1" applyFont="1" applyBorder="1" applyAlignment="1">
      <alignment wrapText="1"/>
    </xf>
    <xf numFmtId="10" fontId="0" fillId="2" borderId="1" xfId="12" applyNumberFormat="1" applyFont="1" applyFill="1" applyBorder="1" applyAlignment="1">
      <alignment wrapText="1"/>
    </xf>
    <xf numFmtId="10" fontId="0" fillId="4" borderId="1" xfId="12" applyNumberFormat="1" applyFont="1" applyFill="1" applyBorder="1" applyAlignment="1">
      <alignment wrapText="1"/>
    </xf>
    <xf numFmtId="10" fontId="0" fillId="3" borderId="1" xfId="12" applyNumberFormat="1" applyFont="1" applyFill="1" applyBorder="1" applyAlignment="1">
      <alignment wrapText="1"/>
    </xf>
    <xf numFmtId="10" fontId="0" fillId="5" borderId="1" xfId="12" applyNumberFormat="1" applyFont="1" applyFill="1" applyBorder="1" applyAlignment="1">
      <alignment wrapText="1"/>
    </xf>
    <xf numFmtId="0" fontId="0" fillId="6" borderId="0" xfId="0" applyFill="1"/>
    <xf numFmtId="0" fontId="0" fillId="6" borderId="1" xfId="0" quotePrefix="1" applyFill="1" applyBorder="1"/>
    <xf numFmtId="0" fontId="0" fillId="6" borderId="1" xfId="0" applyFill="1" applyBorder="1"/>
    <xf numFmtId="0" fontId="0" fillId="6" borderId="1" xfId="0" applyFill="1" applyBorder="1" applyAlignment="1">
      <alignment wrapText="1"/>
    </xf>
    <xf numFmtId="167" fontId="0" fillId="6" borderId="1" xfId="12" applyNumberFormat="1" applyFont="1" applyFill="1" applyBorder="1"/>
    <xf numFmtId="10" fontId="0" fillId="6" borderId="1" xfId="12" applyNumberFormat="1" applyFont="1" applyFill="1" applyBorder="1" applyAlignment="1">
      <alignment wrapText="1"/>
    </xf>
    <xf numFmtId="0" fontId="0" fillId="0" borderId="0" xfId="0" quotePrefix="1"/>
    <xf numFmtId="165" fontId="0" fillId="2" borderId="1" xfId="0" applyNumberFormat="1" applyFill="1" applyBorder="1"/>
    <xf numFmtId="165" fontId="0" fillId="4" borderId="1" xfId="0" applyNumberFormat="1" applyFill="1" applyBorder="1"/>
    <xf numFmtId="165" fontId="0" fillId="6" borderId="1" xfId="0" applyNumberFormat="1" applyFill="1" applyBorder="1"/>
    <xf numFmtId="166" fontId="0" fillId="0" borderId="0" xfId="0" applyNumberFormat="1" applyAlignment="1">
      <alignment horizontal="right"/>
    </xf>
    <xf numFmtId="0" fontId="0" fillId="3" borderId="1" xfId="0" applyFill="1" applyBorder="1"/>
    <xf numFmtId="0" fontId="0" fillId="0" borderId="0" xfId="0" applyAlignment="1">
      <alignment horizontal="right"/>
    </xf>
    <xf numFmtId="0" fontId="0" fillId="3" borderId="1" xfId="0" applyFill="1" applyBorder="1" applyAlignment="1">
      <alignment wrapText="1"/>
    </xf>
    <xf numFmtId="165" fontId="0" fillId="2" borderId="1" xfId="0" applyNumberFormat="1" applyFill="1" applyBorder="1" applyAlignment="1">
      <alignment wrapText="1"/>
    </xf>
    <xf numFmtId="0" fontId="0" fillId="0" borderId="0" xfId="0" applyFont="1"/>
    <xf numFmtId="164" fontId="0" fillId="3" borderId="1" xfId="11" applyNumberFormat="1" applyFont="1" applyFill="1" applyBorder="1"/>
    <xf numFmtId="167" fontId="0" fillId="3" borderId="1" xfId="12" applyNumberFormat="1" applyFont="1" applyFill="1" applyBorder="1"/>
    <xf numFmtId="164" fontId="0" fillId="0" borderId="0" xfId="11" applyNumberFormat="1" applyFont="1"/>
    <xf numFmtId="0" fontId="6" fillId="0" borderId="0" xfId="0" applyFont="1" applyAlignment="1">
      <alignment horizontal="right"/>
    </xf>
    <xf numFmtId="166" fontId="6" fillId="0" borderId="0" xfId="0" applyNumberFormat="1" applyFont="1" applyAlignment="1">
      <alignment horizontal="right"/>
    </xf>
    <xf numFmtId="166" fontId="6" fillId="0" borderId="0" xfId="0" applyNumberFormat="1" applyFont="1"/>
    <xf numFmtId="0" fontId="6" fillId="0" borderId="0" xfId="0" applyFont="1"/>
    <xf numFmtId="164" fontId="6" fillId="0" borderId="0" xfId="11" applyNumberFormat="1" applyFont="1"/>
    <xf numFmtId="0" fontId="0" fillId="0" borderId="0" xfId="0" applyAlignment="1"/>
    <xf numFmtId="0" fontId="0" fillId="6" borderId="0" xfId="0" applyFill="1" applyAlignment="1">
      <alignment horizontal="right"/>
    </xf>
    <xf numFmtId="166" fontId="0" fillId="6" borderId="0" xfId="0" applyNumberFormat="1" applyFill="1" applyAlignment="1">
      <alignment horizontal="right"/>
    </xf>
    <xf numFmtId="166" fontId="0" fillId="6" borderId="0" xfId="0" applyNumberFormat="1" applyFill="1"/>
    <xf numFmtId="164" fontId="0" fillId="6" borderId="0" xfId="11" applyNumberFormat="1" applyFont="1" applyFill="1"/>
    <xf numFmtId="0" fontId="0" fillId="6" borderId="0" xfId="0" applyFill="1" applyAlignment="1">
      <alignment wrapText="1"/>
    </xf>
    <xf numFmtId="0" fontId="0" fillId="0" borderId="0" xfId="0" quotePrefix="1" applyFill="1" applyAlignment="1">
      <alignment horizontal="right"/>
    </xf>
    <xf numFmtId="0" fontId="0" fillId="7" borderId="1" xfId="0" applyFill="1" applyBorder="1"/>
    <xf numFmtId="0" fontId="0" fillId="8" borderId="1" xfId="0" applyFill="1" applyBorder="1"/>
    <xf numFmtId="0" fontId="0" fillId="8" borderId="1" xfId="0" applyFill="1" applyBorder="1" applyAlignment="1">
      <alignment wrapText="1"/>
    </xf>
    <xf numFmtId="165" fontId="0" fillId="6" borderId="1" xfId="0" applyNumberFormat="1" applyFill="1" applyBorder="1" applyAlignment="1">
      <alignment wrapText="1"/>
    </xf>
    <xf numFmtId="0" fontId="0" fillId="2" borderId="1" xfId="0" applyFont="1" applyFill="1" applyBorder="1"/>
    <xf numFmtId="165" fontId="0" fillId="2" borderId="1" xfId="0" applyNumberFormat="1" applyFont="1" applyFill="1" applyBorder="1"/>
    <xf numFmtId="167" fontId="3" fillId="2" borderId="1" xfId="12" applyNumberFormat="1" applyFont="1" applyFill="1" applyBorder="1"/>
    <xf numFmtId="0" fontId="0" fillId="9" borderId="1" xfId="0" applyFill="1" applyBorder="1"/>
    <xf numFmtId="43" fontId="0" fillId="2" borderId="1" xfId="11" applyFont="1" applyFill="1" applyBorder="1"/>
    <xf numFmtId="43" fontId="0" fillId="2" borderId="1" xfId="0" applyNumberFormat="1" applyFill="1" applyBorder="1" applyAlignment="1">
      <alignment wrapText="1"/>
    </xf>
    <xf numFmtId="0" fontId="0" fillId="0" borderId="0" xfId="0" applyAlignment="1">
      <alignment horizontal="center" wrapText="1"/>
    </xf>
    <xf numFmtId="17" fontId="0" fillId="0" borderId="0" xfId="0" applyNumberFormat="1"/>
    <xf numFmtId="17" fontId="0" fillId="0" borderId="0" xfId="0" applyNumberFormat="1" applyAlignment="1">
      <alignment horizontal="center"/>
    </xf>
    <xf numFmtId="0" fontId="0" fillId="0" borderId="0" xfId="0" applyNumberFormat="1" applyAlignment="1">
      <alignment horizontal="center"/>
    </xf>
    <xf numFmtId="0" fontId="0" fillId="0" borderId="0" xfId="0" applyAlignment="1">
      <alignment horizontal="center"/>
    </xf>
    <xf numFmtId="168" fontId="3" fillId="0" borderId="0" xfId="13" applyNumberFormat="1" applyFont="1" applyAlignment="1">
      <alignment horizontal="center" wrapText="1"/>
    </xf>
    <xf numFmtId="168" fontId="3" fillId="0" borderId="0" xfId="13" applyNumberFormat="1" applyFont="1" applyAlignment="1">
      <alignment horizontal="center"/>
    </xf>
    <xf numFmtId="168" fontId="0" fillId="0" borderId="0" xfId="0" applyNumberFormat="1"/>
    <xf numFmtId="44" fontId="3" fillId="0" borderId="0" xfId="13" applyFont="1" applyAlignment="1">
      <alignment horizontal="center" wrapText="1"/>
    </xf>
    <xf numFmtId="44" fontId="3" fillId="0" borderId="0" xfId="13" applyFont="1" applyAlignment="1">
      <alignment horizontal="center"/>
    </xf>
    <xf numFmtId="0" fontId="0" fillId="0" borderId="0" xfId="0" applyNumberFormat="1" applyAlignment="1">
      <alignment horizontal="center" wrapText="1"/>
    </xf>
    <xf numFmtId="0" fontId="3" fillId="0" borderId="0" xfId="13" applyNumberFormat="1" applyFont="1" applyAlignment="1">
      <alignment horizontal="center"/>
    </xf>
    <xf numFmtId="16" fontId="0" fillId="0" borderId="0" xfId="0" applyNumberFormat="1" applyAlignment="1">
      <alignment horizontal="center"/>
    </xf>
    <xf numFmtId="167" fontId="3" fillId="0" borderId="0" xfId="12" applyNumberFormat="1" applyFont="1" applyAlignment="1">
      <alignment horizontal="center" wrapText="1"/>
    </xf>
    <xf numFmtId="167" fontId="3" fillId="0" borderId="0" xfId="12" applyNumberFormat="1" applyFont="1" applyAlignment="1">
      <alignment horizontal="center"/>
    </xf>
    <xf numFmtId="9" fontId="3" fillId="0" borderId="0" xfId="12" applyFont="1" applyAlignment="1">
      <alignment horizontal="center" wrapText="1"/>
    </xf>
    <xf numFmtId="9" fontId="3" fillId="0" borderId="0" xfId="12" applyFont="1" applyAlignment="1">
      <alignment horizontal="center"/>
    </xf>
    <xf numFmtId="168" fontId="3" fillId="0" borderId="0" xfId="13" applyNumberFormat="1" applyFont="1" applyAlignment="1">
      <alignment wrapText="1"/>
    </xf>
    <xf numFmtId="168" fontId="3" fillId="0" borderId="0" xfId="13" applyNumberFormat="1" applyFont="1"/>
    <xf numFmtId="2" fontId="0" fillId="0" borderId="0" xfId="0" applyNumberFormat="1"/>
    <xf numFmtId="1" fontId="0" fillId="0" borderId="0" xfId="0" applyNumberFormat="1"/>
    <xf numFmtId="166" fontId="0" fillId="0" borderId="0" xfId="0" applyNumberFormat="1" applyFont="1"/>
    <xf numFmtId="0" fontId="0" fillId="0" borderId="0" xfId="0" applyAlignment="1">
      <alignment horizontal="center" wrapText="1"/>
    </xf>
  </cellXfs>
  <cellStyles count="14">
    <cellStyle name="Comma" xfId="11" builtinId="3"/>
    <cellStyle name="Currency" xfId="13" builtinId="4"/>
    <cellStyle name="Normal" xfId="0" builtinId="0"/>
    <cellStyle name="Normal 10" xfId="1"/>
    <cellStyle name="Normal 11" xfId="2"/>
    <cellStyle name="Normal 2" xfId="3"/>
    <cellStyle name="Normal 3" xfId="4"/>
    <cellStyle name="Normal 4" xfId="5"/>
    <cellStyle name="Normal 5" xfId="6"/>
    <cellStyle name="Normal 6" xfId="7"/>
    <cellStyle name="Normal 7" xfId="8"/>
    <cellStyle name="Normal 8" xfId="9"/>
    <cellStyle name="Normal 9" xfId="10"/>
    <cellStyle name="Percent" xfId="12" builtinId="5"/>
  </cellStyles>
  <dxfs count="2">
    <dxf>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I113"/>
  <sheetViews>
    <sheetView tabSelected="1" workbookViewId="0">
      <pane xSplit="2" ySplit="5" topLeftCell="AV6" activePane="bottomRight" state="frozen"/>
      <selection pane="topRight" activeCell="C1" sqref="C1"/>
      <selection pane="bottomLeft" activeCell="A6" sqref="A6"/>
      <selection pane="bottomRight" activeCell="AX6" sqref="AX6:BB6"/>
    </sheetView>
  </sheetViews>
  <sheetFormatPr defaultRowHeight="15" x14ac:dyDescent="0.25"/>
  <cols>
    <col min="1" max="1" width="5.42578125" customWidth="1"/>
    <col min="2" max="2" width="63.7109375" customWidth="1"/>
    <col min="3" max="3" width="18.28515625" customWidth="1"/>
    <col min="4" max="38" width="11.7109375" customWidth="1"/>
    <col min="39" max="39" width="14.28515625" style="32" customWidth="1"/>
    <col min="40" max="42" width="11.7109375" style="32" customWidth="1"/>
    <col min="43" max="43" width="11.7109375" customWidth="1"/>
    <col min="44" max="46" width="11.7109375" style="46" customWidth="1"/>
    <col min="47" max="47" width="11.7109375" customWidth="1"/>
    <col min="52" max="52" width="11.28515625" bestFit="1" customWidth="1"/>
    <col min="53" max="53" width="11.7109375" customWidth="1"/>
    <col min="54" max="54" width="12.7109375" bestFit="1" customWidth="1"/>
    <col min="55" max="55" width="10.140625" bestFit="1" customWidth="1"/>
    <col min="57" max="57" width="11.140625" customWidth="1"/>
    <col min="59" max="59" width="11.140625" customWidth="1"/>
  </cols>
  <sheetData>
    <row r="1" spans="1:56" x14ac:dyDescent="0.25">
      <c r="A1" t="s">
        <v>146</v>
      </c>
    </row>
    <row r="2" spans="1:56" x14ac:dyDescent="0.25">
      <c r="A2" t="s">
        <v>0</v>
      </c>
      <c r="AV2" s="109"/>
    </row>
    <row r="3" spans="1:56" x14ac:dyDescent="0.25">
      <c r="B3" t="s">
        <v>1</v>
      </c>
      <c r="C3" t="s">
        <v>2</v>
      </c>
      <c r="AV3" s="109"/>
    </row>
    <row r="4" spans="1:56" x14ac:dyDescent="0.25">
      <c r="B4" t="s">
        <v>148</v>
      </c>
      <c r="C4" s="28">
        <v>1</v>
      </c>
      <c r="D4">
        <v>3</v>
      </c>
      <c r="E4">
        <v>4</v>
      </c>
      <c r="F4">
        <v>33</v>
      </c>
      <c r="G4">
        <v>34</v>
      </c>
      <c r="H4">
        <v>5</v>
      </c>
      <c r="I4">
        <v>7</v>
      </c>
      <c r="J4">
        <v>8</v>
      </c>
      <c r="K4">
        <v>9</v>
      </c>
      <c r="L4">
        <v>11</v>
      </c>
      <c r="M4">
        <v>12</v>
      </c>
      <c r="N4">
        <v>14</v>
      </c>
      <c r="O4">
        <v>35</v>
      </c>
      <c r="P4">
        <v>15</v>
      </c>
      <c r="Q4">
        <v>16</v>
      </c>
      <c r="R4">
        <v>17</v>
      </c>
      <c r="S4">
        <v>18</v>
      </c>
      <c r="T4">
        <v>19</v>
      </c>
      <c r="U4">
        <v>20</v>
      </c>
      <c r="V4">
        <v>39</v>
      </c>
      <c r="W4">
        <v>40</v>
      </c>
      <c r="X4">
        <v>21</v>
      </c>
      <c r="Y4">
        <v>22</v>
      </c>
      <c r="Z4">
        <v>23</v>
      </c>
      <c r="AA4">
        <v>41</v>
      </c>
      <c r="AB4">
        <v>43</v>
      </c>
      <c r="AC4">
        <v>24</v>
      </c>
      <c r="AD4">
        <v>25</v>
      </c>
      <c r="AE4">
        <v>27</v>
      </c>
      <c r="AF4">
        <v>28</v>
      </c>
      <c r="AG4">
        <v>29</v>
      </c>
      <c r="AH4">
        <v>30</v>
      </c>
      <c r="AI4">
        <v>31</v>
      </c>
      <c r="AJ4">
        <v>36</v>
      </c>
      <c r="AK4">
        <v>38</v>
      </c>
      <c r="AL4">
        <v>44</v>
      </c>
      <c r="AM4" s="32">
        <v>2</v>
      </c>
      <c r="AN4" s="32">
        <v>6</v>
      </c>
      <c r="AO4" s="32">
        <v>10</v>
      </c>
      <c r="AP4" s="32">
        <v>13</v>
      </c>
      <c r="AQ4">
        <v>42</v>
      </c>
      <c r="AR4" s="46">
        <v>26</v>
      </c>
      <c r="AS4" s="46">
        <v>32</v>
      </c>
      <c r="AT4" s="46">
        <v>37</v>
      </c>
      <c r="AV4">
        <f>Budget!B12</f>
        <v>21</v>
      </c>
    </row>
    <row r="5" spans="1:56" x14ac:dyDescent="0.25">
      <c r="A5">
        <v>1</v>
      </c>
      <c r="B5" s="1" t="s">
        <v>147</v>
      </c>
      <c r="C5" s="2">
        <v>1</v>
      </c>
      <c r="D5" s="29">
        <v>2</v>
      </c>
      <c r="E5" s="29">
        <v>4</v>
      </c>
      <c r="F5" s="29">
        <v>5</v>
      </c>
      <c r="G5" s="29">
        <v>6</v>
      </c>
      <c r="H5" s="29">
        <v>8</v>
      </c>
      <c r="I5" s="29">
        <v>9</v>
      </c>
      <c r="J5" s="29">
        <v>10</v>
      </c>
      <c r="K5" s="29">
        <v>11</v>
      </c>
      <c r="L5" s="29">
        <v>12</v>
      </c>
      <c r="M5" s="29">
        <v>13</v>
      </c>
      <c r="N5" s="29">
        <v>17</v>
      </c>
      <c r="O5" s="29">
        <v>19</v>
      </c>
      <c r="P5" s="29">
        <v>21</v>
      </c>
      <c r="Q5" s="29">
        <v>24</v>
      </c>
      <c r="R5" s="29">
        <v>25</v>
      </c>
      <c r="S5" s="29">
        <v>26</v>
      </c>
      <c r="T5" s="29">
        <v>29</v>
      </c>
      <c r="U5" s="29">
        <v>30</v>
      </c>
      <c r="V5" s="29">
        <v>32</v>
      </c>
      <c r="W5" s="29">
        <v>33</v>
      </c>
      <c r="X5" s="29">
        <v>37</v>
      </c>
      <c r="Y5" s="29">
        <v>38</v>
      </c>
      <c r="Z5" s="29">
        <v>39</v>
      </c>
      <c r="AA5" s="29">
        <v>40</v>
      </c>
      <c r="AB5" s="29">
        <v>41</v>
      </c>
      <c r="AC5" s="29">
        <v>43</v>
      </c>
      <c r="AD5" s="29">
        <v>45</v>
      </c>
      <c r="AE5" s="29">
        <v>46</v>
      </c>
      <c r="AF5" s="29">
        <v>52</v>
      </c>
      <c r="AG5" s="29">
        <v>58</v>
      </c>
      <c r="AH5" s="29">
        <v>59</v>
      </c>
      <c r="AI5" s="29">
        <v>61</v>
      </c>
      <c r="AJ5" s="29">
        <v>62</v>
      </c>
      <c r="AK5" s="29">
        <v>63</v>
      </c>
      <c r="AL5" s="29"/>
      <c r="AM5" s="33" t="s">
        <v>76</v>
      </c>
      <c r="AN5" s="33" t="s">
        <v>87</v>
      </c>
      <c r="AO5" s="33" t="s">
        <v>94</v>
      </c>
      <c r="AP5" s="33" t="s">
        <v>95</v>
      </c>
      <c r="AQ5" s="29" t="s">
        <v>163</v>
      </c>
      <c r="AR5" s="47" t="s">
        <v>104</v>
      </c>
      <c r="AS5" s="47" t="s">
        <v>112</v>
      </c>
      <c r="AT5" s="47" t="s">
        <v>157</v>
      </c>
      <c r="AU5" s="29"/>
      <c r="AV5">
        <f>INDEX(C5:AU5,0,$AV$4)</f>
        <v>33</v>
      </c>
      <c r="AX5" t="s">
        <v>119</v>
      </c>
      <c r="AY5" t="s">
        <v>120</v>
      </c>
      <c r="AZ5" t="s">
        <v>121</v>
      </c>
      <c r="BA5" t="s">
        <v>243</v>
      </c>
      <c r="BB5" t="s">
        <v>244</v>
      </c>
    </row>
    <row r="6" spans="1:56" x14ac:dyDescent="0.25">
      <c r="A6">
        <v>2</v>
      </c>
      <c r="B6" s="1" t="s">
        <v>164</v>
      </c>
      <c r="C6" s="2">
        <v>51</v>
      </c>
      <c r="D6" s="2">
        <f>Budget!$H$3</f>
        <v>55</v>
      </c>
      <c r="E6" s="2">
        <f>Budget!$H$3</f>
        <v>55</v>
      </c>
      <c r="F6" s="2">
        <f>Budget!$H$3</f>
        <v>55</v>
      </c>
      <c r="G6" s="2">
        <f>Budget!$H$3</f>
        <v>55</v>
      </c>
      <c r="H6" s="2">
        <f>Budget!$H$3</f>
        <v>55</v>
      </c>
      <c r="I6" s="2">
        <f>Budget!$H$3</f>
        <v>55</v>
      </c>
      <c r="J6" s="2">
        <f>Budget!$H$3</f>
        <v>55</v>
      </c>
      <c r="K6" s="2">
        <f>Budget!$H$3</f>
        <v>55</v>
      </c>
      <c r="L6" s="2">
        <f>Budget!$H$3</f>
        <v>55</v>
      </c>
      <c r="M6" s="2">
        <f>Budget!$H$3</f>
        <v>55</v>
      </c>
      <c r="N6" s="2">
        <f>Budget!$H$3</f>
        <v>55</v>
      </c>
      <c r="O6" s="2">
        <f>Budget!$H$3</f>
        <v>55</v>
      </c>
      <c r="P6" s="2">
        <f>Budget!$H$3</f>
        <v>55</v>
      </c>
      <c r="Q6" s="2">
        <f>Budget!$H$3</f>
        <v>55</v>
      </c>
      <c r="R6" s="2">
        <f>Budget!$H$3</f>
        <v>55</v>
      </c>
      <c r="S6" s="2">
        <f>Budget!$H$3</f>
        <v>55</v>
      </c>
      <c r="T6" s="2">
        <f>Budget!$H$3</f>
        <v>55</v>
      </c>
      <c r="U6" s="2">
        <f>Budget!$H$3</f>
        <v>55</v>
      </c>
      <c r="V6" s="2">
        <f>Budget!$H$3</f>
        <v>55</v>
      </c>
      <c r="W6" s="2">
        <f>Budget!$H$3</f>
        <v>55</v>
      </c>
      <c r="X6" s="2">
        <f>Budget!$H$3</f>
        <v>55</v>
      </c>
      <c r="Y6" s="2">
        <f>Budget!$H$3</f>
        <v>55</v>
      </c>
      <c r="Z6" s="2">
        <f>Budget!$H$3</f>
        <v>55</v>
      </c>
      <c r="AA6" s="2">
        <f>Budget!$H$3</f>
        <v>55</v>
      </c>
      <c r="AB6" s="2">
        <f>Budget!$H$3</f>
        <v>55</v>
      </c>
      <c r="AC6" s="2">
        <f>Budget!$H$3</f>
        <v>55</v>
      </c>
      <c r="AD6" s="2">
        <f>Budget!$H$3</f>
        <v>55</v>
      </c>
      <c r="AE6" s="2">
        <f>Budget!$H$3</f>
        <v>55</v>
      </c>
      <c r="AF6" s="2">
        <f>Budget!$H$3</f>
        <v>55</v>
      </c>
      <c r="AG6" s="2">
        <f>Budget!$H$3</f>
        <v>55</v>
      </c>
      <c r="AH6" s="2">
        <v>52</v>
      </c>
      <c r="AI6" s="2">
        <f>Budget!$H$3</f>
        <v>55</v>
      </c>
      <c r="AJ6" s="2">
        <f>Budget!$H$3</f>
        <v>55</v>
      </c>
      <c r="AK6" s="2">
        <f>Budget!$H$3</f>
        <v>55</v>
      </c>
      <c r="AL6" s="2">
        <f>Budget!$H$3</f>
        <v>55</v>
      </c>
      <c r="AM6" s="2">
        <f>Budget!$H$3</f>
        <v>55</v>
      </c>
      <c r="AN6" s="2">
        <f>Budget!$H$3</f>
        <v>55</v>
      </c>
      <c r="AO6" s="2">
        <f>Budget!$H$3</f>
        <v>55</v>
      </c>
      <c r="AP6" s="2">
        <f>Budget!$H$3</f>
        <v>55</v>
      </c>
      <c r="AQ6" s="2">
        <f>Budget!$H$3</f>
        <v>55</v>
      </c>
      <c r="AR6" s="2">
        <f>Budget!$H$3</f>
        <v>55</v>
      </c>
      <c r="AS6" s="2">
        <f>Budget!$H$3</f>
        <v>55</v>
      </c>
      <c r="AT6" s="2">
        <f>Budget!$H$3</f>
        <v>55</v>
      </c>
      <c r="AU6" s="2"/>
      <c r="AV6">
        <f>IF(INDEX($C6:$AU6,0,AV$4)&gt;0,INDEX($C6:$AU6,0,AV$4),Budget!$H$3)</f>
        <v>55</v>
      </c>
      <c r="AX6">
        <f>SUMIF($C$12:$AL$12,"&gt;0",$C$12:$AL$12)</f>
        <v>1841</v>
      </c>
      <c r="AY6">
        <f>COUNTIF($C$12:$AL$12,"&gt;0")</f>
        <v>35</v>
      </c>
      <c r="AZ6">
        <f>AX6/AY6</f>
        <v>52.6</v>
      </c>
      <c r="BA6">
        <f>MIN(C6:AJ6)</f>
        <v>51</v>
      </c>
      <c r="BB6">
        <f>MAX(C6:AJ6)</f>
        <v>55</v>
      </c>
    </row>
    <row r="7" spans="1:56" x14ac:dyDescent="0.25">
      <c r="B7" s="3" t="s">
        <v>165</v>
      </c>
      <c r="C7" s="2">
        <v>59</v>
      </c>
      <c r="D7" s="2">
        <f>Budget!$H$5</f>
        <v>60</v>
      </c>
      <c r="E7" s="2">
        <f>Budget!$H$5</f>
        <v>60</v>
      </c>
      <c r="F7" s="2">
        <f>Budget!$H$5</f>
        <v>60</v>
      </c>
      <c r="G7" s="2">
        <f>Budget!$H$5</f>
        <v>60</v>
      </c>
      <c r="H7" s="2">
        <f>Budget!$H$5</f>
        <v>60</v>
      </c>
      <c r="I7" s="2">
        <f>Budget!$H$5</f>
        <v>60</v>
      </c>
      <c r="J7" s="2">
        <f>Budget!$H$5</f>
        <v>60</v>
      </c>
      <c r="K7" s="2">
        <f>Budget!$H$5</f>
        <v>60</v>
      </c>
      <c r="L7" s="2">
        <f>Budget!$H$5</f>
        <v>60</v>
      </c>
      <c r="M7" s="2">
        <f>Budget!$H$5</f>
        <v>60</v>
      </c>
      <c r="N7" s="2">
        <f>Budget!$H$5</f>
        <v>60</v>
      </c>
      <c r="O7" s="2">
        <f>Budget!$H$5</f>
        <v>60</v>
      </c>
      <c r="P7" s="2">
        <f>Budget!$H$5</f>
        <v>60</v>
      </c>
      <c r="Q7" s="2">
        <f>Budget!$H$5</f>
        <v>60</v>
      </c>
      <c r="R7" s="2">
        <f>Budget!$H$5</f>
        <v>60</v>
      </c>
      <c r="S7" s="2">
        <f>Budget!$H$5</f>
        <v>60</v>
      </c>
      <c r="T7" s="2">
        <f>Budget!$H$5</f>
        <v>60</v>
      </c>
      <c r="U7" s="2">
        <f>Budget!$H$5</f>
        <v>60</v>
      </c>
      <c r="V7" s="2">
        <f>Budget!$H$5</f>
        <v>60</v>
      </c>
      <c r="W7" s="2">
        <f>Budget!$H$5</f>
        <v>60</v>
      </c>
      <c r="X7" s="2">
        <f>Budget!$H$5</f>
        <v>60</v>
      </c>
      <c r="Y7" s="2">
        <f>Budget!$H$5</f>
        <v>60</v>
      </c>
      <c r="Z7" s="2">
        <f>Budget!$H$5</f>
        <v>60</v>
      </c>
      <c r="AA7" s="2">
        <f>Budget!$H$5</f>
        <v>60</v>
      </c>
      <c r="AB7" s="2">
        <f>Budget!$H$5</f>
        <v>60</v>
      </c>
      <c r="AC7" s="2">
        <f>Budget!$H$5</f>
        <v>60</v>
      </c>
      <c r="AD7" s="2">
        <f>Budget!$H$5</f>
        <v>60</v>
      </c>
      <c r="AE7" s="2">
        <f>Budget!$H$5</f>
        <v>60</v>
      </c>
      <c r="AF7" s="2">
        <f>Budget!$H$5</f>
        <v>60</v>
      </c>
      <c r="AG7" s="2">
        <f>Budget!$H$5</f>
        <v>60</v>
      </c>
      <c r="AH7" s="2">
        <v>52</v>
      </c>
      <c r="AI7" s="2">
        <f>Budget!$H$5</f>
        <v>60</v>
      </c>
      <c r="AJ7" s="2">
        <f>Budget!$H$5</f>
        <v>60</v>
      </c>
      <c r="AK7" s="2">
        <f>Budget!$H$5</f>
        <v>60</v>
      </c>
      <c r="AL7" s="2">
        <f>Budget!$H$5</f>
        <v>60</v>
      </c>
      <c r="AM7" s="2">
        <f>Budget!$H$5</f>
        <v>60</v>
      </c>
      <c r="AN7" s="2">
        <f>Budget!$H$5</f>
        <v>60</v>
      </c>
      <c r="AO7" s="2">
        <f>Budget!$H$5</f>
        <v>60</v>
      </c>
      <c r="AP7" s="2">
        <f>Budget!$H$5</f>
        <v>60</v>
      </c>
      <c r="AQ7" s="2">
        <f>Budget!$H$5</f>
        <v>60</v>
      </c>
      <c r="AR7" s="2">
        <f>Budget!$H$5</f>
        <v>60</v>
      </c>
      <c r="AS7" s="2">
        <f>Budget!$H$5</f>
        <v>60</v>
      </c>
      <c r="AT7" s="2">
        <f>Budget!$H$5</f>
        <v>60</v>
      </c>
      <c r="AU7" s="2"/>
    </row>
    <row r="8" spans="1:56" x14ac:dyDescent="0.25">
      <c r="B8" s="3" t="s">
        <v>166</v>
      </c>
      <c r="C8" s="85">
        <f>IF(C7&gt;0,365/C7,Budget!$H$6)</f>
        <v>6.1864406779661021</v>
      </c>
      <c r="D8" s="85">
        <f>IF(D7&gt;0,365/D7,Budget!$H$6)</f>
        <v>6.083333333333333</v>
      </c>
      <c r="E8" s="85">
        <f>IF(E7&gt;0,365/E7,Budget!$H$6)</f>
        <v>6.083333333333333</v>
      </c>
      <c r="F8" s="85">
        <f>IF(F7&gt;0,365/F7,Budget!$H$6)</f>
        <v>6.083333333333333</v>
      </c>
      <c r="G8" s="85">
        <f>IF(G7&gt;0,365/G7,Budget!$H$6)</f>
        <v>6.083333333333333</v>
      </c>
      <c r="H8" s="85">
        <f>IF(H7&gt;0,365/H7,Budget!$H$6)</f>
        <v>6.083333333333333</v>
      </c>
      <c r="I8" s="85">
        <f>IF(I7&gt;0,365/I7,Budget!$H$6)</f>
        <v>6.083333333333333</v>
      </c>
      <c r="J8" s="85">
        <f>IF(J7&gt;0,365/J7,Budget!$H$6)</f>
        <v>6.083333333333333</v>
      </c>
      <c r="K8" s="85">
        <f>IF(K7&gt;0,365/K7,Budget!$H$6)</f>
        <v>6.083333333333333</v>
      </c>
      <c r="L8" s="85">
        <f>IF(L7&gt;0,365/L7,Budget!$H$6)</f>
        <v>6.083333333333333</v>
      </c>
      <c r="M8" s="85">
        <f>IF(M7&gt;0,365/M7,Budget!$H$6)</f>
        <v>6.083333333333333</v>
      </c>
      <c r="N8" s="85">
        <f>IF(N7&gt;0,365/N7,Budget!$H$6)</f>
        <v>6.083333333333333</v>
      </c>
      <c r="O8" s="85">
        <f>IF(O7&gt;0,365/O7,Budget!$H$6)</f>
        <v>6.083333333333333</v>
      </c>
      <c r="P8" s="85">
        <f>IF(P7&gt;0,365/P7,Budget!$H$6)</f>
        <v>6.083333333333333</v>
      </c>
      <c r="Q8" s="85">
        <f>IF(Q7&gt;0,365/Q7,Budget!$H$6)</f>
        <v>6.083333333333333</v>
      </c>
      <c r="R8" s="85">
        <f>IF(R7&gt;0,365/R7,Budget!$H$6)</f>
        <v>6.083333333333333</v>
      </c>
      <c r="S8" s="85">
        <f>IF(S7&gt;0,365/S7,Budget!$H$6)</f>
        <v>6.083333333333333</v>
      </c>
      <c r="T8" s="85">
        <f>IF(T7&gt;0,365/T7,Budget!$H$6)</f>
        <v>6.083333333333333</v>
      </c>
      <c r="U8" s="85">
        <f>IF(U7&gt;0,365/U7,Budget!$H$6)</f>
        <v>6.083333333333333</v>
      </c>
      <c r="V8" s="85">
        <f>IF(V7&gt;0,365/V7,Budget!$H$6)</f>
        <v>6.083333333333333</v>
      </c>
      <c r="W8" s="85">
        <f>IF(W7&gt;0,365/W7,Budget!$H$6)</f>
        <v>6.083333333333333</v>
      </c>
      <c r="X8" s="85">
        <f>IF(X7&gt;0,365/X7,Budget!$H$6)</f>
        <v>6.083333333333333</v>
      </c>
      <c r="Y8" s="85">
        <f>IF(Y7&gt;0,365/Y7,Budget!$H$6)</f>
        <v>6.083333333333333</v>
      </c>
      <c r="Z8" s="85">
        <f>IF(Z7&gt;0,365/Z7,Budget!$H$6)</f>
        <v>6.083333333333333</v>
      </c>
      <c r="AA8" s="85">
        <f>IF(AA7&gt;0,365/AA7,Budget!$H$6)</f>
        <v>6.083333333333333</v>
      </c>
      <c r="AB8" s="85">
        <f>IF(AB7&gt;0,365/AB7,Budget!$H$6)</f>
        <v>6.083333333333333</v>
      </c>
      <c r="AC8" s="85">
        <f>IF(AC7&gt;0,365/AC7,Budget!$H$6)</f>
        <v>6.083333333333333</v>
      </c>
      <c r="AD8" s="85">
        <f>IF(AD7&gt;0,365/AD7,Budget!$H$6)</f>
        <v>6.083333333333333</v>
      </c>
      <c r="AE8" s="85">
        <f>IF(AE7&gt;0,365/AE7,Budget!$H$6)</f>
        <v>6.083333333333333</v>
      </c>
      <c r="AF8" s="85">
        <f>IF(AF7&gt;0,365/AF7,Budget!$H$6)</f>
        <v>6.083333333333333</v>
      </c>
      <c r="AG8" s="85">
        <f>IF(AG7&gt;0,365/AG7,Budget!$H$6)</f>
        <v>6.083333333333333</v>
      </c>
      <c r="AH8" s="85">
        <f>IF(AH7&gt;0,365/AH7,Budget!$H$6)</f>
        <v>7.0192307692307692</v>
      </c>
      <c r="AI8" s="85">
        <f>IF(AI7&gt;0,365/AI7,Budget!$H$6)</f>
        <v>6.083333333333333</v>
      </c>
      <c r="AJ8" s="85">
        <f>IF(AJ7&gt;0,365/AJ7,Budget!$H$6)</f>
        <v>6.083333333333333</v>
      </c>
      <c r="AK8" s="85">
        <f>IF(AK7&gt;0,365/AK7,Budget!$H$6)</f>
        <v>6.083333333333333</v>
      </c>
      <c r="AL8" s="85">
        <f>IF(AL7&gt;0,365/AL7,Budget!$H$6)</f>
        <v>6.083333333333333</v>
      </c>
      <c r="AM8" s="85">
        <f>IF(AM7&gt;0,365/AM7,Budget!$H$6)</f>
        <v>6.083333333333333</v>
      </c>
      <c r="AN8" s="85">
        <f>IF(AN7&gt;0,365/AN7,Budget!$H$6)</f>
        <v>6.083333333333333</v>
      </c>
      <c r="AO8" s="85">
        <f>IF(AO7&gt;0,365/AO7,Budget!$H$6)</f>
        <v>6.083333333333333</v>
      </c>
      <c r="AP8" s="85">
        <f>IF(AP7&gt;0,365/AP7,Budget!$H$6)</f>
        <v>6.083333333333333</v>
      </c>
      <c r="AQ8" s="85">
        <f>IF(AQ7&gt;0,365/AQ7,Budget!$H$6)</f>
        <v>6.083333333333333</v>
      </c>
      <c r="AR8" s="85">
        <f>IF(AR7&gt;0,365/AR7,Budget!$H$6)</f>
        <v>6.083333333333333</v>
      </c>
      <c r="AS8" s="85">
        <f>IF(AS7&gt;0,365/AS7,Budget!$H$6)</f>
        <v>6.083333333333333</v>
      </c>
      <c r="AT8" s="85">
        <f>IF(AT7&gt;0,365/AT7,Budget!$H$6)</f>
        <v>6.083333333333333</v>
      </c>
      <c r="AU8" s="2"/>
    </row>
    <row r="9" spans="1:56" ht="60" x14ac:dyDescent="0.25">
      <c r="A9">
        <v>3</v>
      </c>
      <c r="B9" s="4" t="s">
        <v>4</v>
      </c>
      <c r="C9" s="7" t="s">
        <v>31</v>
      </c>
      <c r="D9" s="7" t="s">
        <v>81</v>
      </c>
      <c r="E9" s="7" t="s">
        <v>82</v>
      </c>
      <c r="F9" s="7" t="s">
        <v>154</v>
      </c>
      <c r="G9" s="7" t="s">
        <v>93</v>
      </c>
      <c r="H9" s="7" t="s">
        <v>82</v>
      </c>
      <c r="I9" s="7" t="s">
        <v>89</v>
      </c>
      <c r="J9" s="7" t="s">
        <v>91</v>
      </c>
      <c r="K9" s="7" t="s">
        <v>93</v>
      </c>
      <c r="L9" s="7" t="s">
        <v>82</v>
      </c>
      <c r="M9" s="38" t="s">
        <v>91</v>
      </c>
      <c r="N9" s="38" t="s">
        <v>91</v>
      </c>
      <c r="O9" s="7"/>
      <c r="P9" s="7" t="s">
        <v>97</v>
      </c>
      <c r="Q9" s="38" t="s">
        <v>91</v>
      </c>
      <c r="R9" s="38" t="s">
        <v>91</v>
      </c>
      <c r="S9" s="7" t="s">
        <v>82</v>
      </c>
      <c r="T9" s="7" t="s">
        <v>100</v>
      </c>
      <c r="U9" s="7" t="s">
        <v>82</v>
      </c>
      <c r="V9" s="7"/>
      <c r="W9" s="7" t="s">
        <v>154</v>
      </c>
      <c r="X9" s="7" t="s">
        <v>102</v>
      </c>
      <c r="Y9" s="7" t="s">
        <v>82</v>
      </c>
      <c r="Z9" s="7" t="s">
        <v>93</v>
      </c>
      <c r="AA9" s="7" t="s">
        <v>162</v>
      </c>
      <c r="AB9" s="7"/>
      <c r="AC9" s="7" t="s">
        <v>82</v>
      </c>
      <c r="AD9" s="7" t="s">
        <v>103</v>
      </c>
      <c r="AE9" s="7" t="s">
        <v>106</v>
      </c>
      <c r="AF9" s="7" t="s">
        <v>108</v>
      </c>
      <c r="AG9" s="7" t="s">
        <v>93</v>
      </c>
      <c r="AH9" s="7" t="s">
        <v>82</v>
      </c>
      <c r="AI9" s="7" t="s">
        <v>111</v>
      </c>
      <c r="AJ9" s="7" t="s">
        <v>154</v>
      </c>
      <c r="AK9" s="7" t="s">
        <v>158</v>
      </c>
      <c r="AL9" s="7"/>
      <c r="AM9" s="35" t="s">
        <v>31</v>
      </c>
      <c r="AN9" s="35" t="s">
        <v>82</v>
      </c>
      <c r="AO9" s="35" t="s">
        <v>93</v>
      </c>
      <c r="AP9" s="39" t="s">
        <v>91</v>
      </c>
      <c r="AQ9" s="7" t="s">
        <v>162</v>
      </c>
      <c r="AR9" s="49" t="s">
        <v>103</v>
      </c>
      <c r="AS9" s="49" t="s">
        <v>111</v>
      </c>
      <c r="AT9" s="49" t="s">
        <v>154</v>
      </c>
      <c r="AU9" s="7"/>
      <c r="AV9" t="str">
        <f t="shared" ref="AV9:AV17" si="0">INDEX(C9:AU9,0,$AV$4)</f>
        <v>D/CF1000</v>
      </c>
    </row>
    <row r="10" spans="1:56" x14ac:dyDescent="0.25">
      <c r="A10">
        <v>4</v>
      </c>
      <c r="B10" s="14" t="s">
        <v>33</v>
      </c>
      <c r="C10" s="2">
        <v>2012</v>
      </c>
      <c r="D10" s="2">
        <v>2010</v>
      </c>
      <c r="E10" s="2">
        <v>2010</v>
      </c>
      <c r="F10" s="2">
        <v>2007</v>
      </c>
      <c r="G10" s="2">
        <v>2009</v>
      </c>
      <c r="H10" s="2">
        <v>2012</v>
      </c>
      <c r="I10" s="2">
        <v>2009</v>
      </c>
      <c r="J10" s="2">
        <v>2008</v>
      </c>
      <c r="K10" s="2">
        <v>2012</v>
      </c>
      <c r="L10" s="2">
        <v>2011</v>
      </c>
      <c r="M10" s="2">
        <v>2011</v>
      </c>
      <c r="N10" s="2">
        <v>2012</v>
      </c>
      <c r="O10" s="2">
        <v>2009</v>
      </c>
      <c r="P10" s="2">
        <v>2008</v>
      </c>
      <c r="Q10" s="2">
        <v>2011</v>
      </c>
      <c r="R10" s="2">
        <v>2011</v>
      </c>
      <c r="S10" s="2">
        <v>2009</v>
      </c>
      <c r="T10" s="2">
        <v>2009</v>
      </c>
      <c r="U10" s="2">
        <v>2009</v>
      </c>
      <c r="V10" s="2">
        <v>2010</v>
      </c>
      <c r="W10" s="2">
        <v>2009</v>
      </c>
      <c r="X10" s="2">
        <v>2012</v>
      </c>
      <c r="Y10" s="2">
        <v>2010</v>
      </c>
      <c r="Z10" s="2">
        <v>2011</v>
      </c>
      <c r="AA10" s="2">
        <v>2011</v>
      </c>
      <c r="AB10" s="2">
        <v>2011</v>
      </c>
      <c r="AC10" s="2">
        <v>2010</v>
      </c>
      <c r="AD10" s="2">
        <v>2011</v>
      </c>
      <c r="AE10" s="2">
        <v>2009</v>
      </c>
      <c r="AF10" s="2">
        <v>2012</v>
      </c>
      <c r="AG10" s="2">
        <v>2012</v>
      </c>
      <c r="AH10" s="2">
        <v>2012</v>
      </c>
      <c r="AI10" s="2">
        <v>2012</v>
      </c>
      <c r="AJ10" s="2">
        <v>2010</v>
      </c>
      <c r="AK10" s="2">
        <v>2008</v>
      </c>
      <c r="AL10" s="2"/>
      <c r="AM10" s="34">
        <v>2012</v>
      </c>
      <c r="AN10" s="34">
        <v>2012</v>
      </c>
      <c r="AO10" s="34">
        <v>2012</v>
      </c>
      <c r="AP10" s="34">
        <v>2011</v>
      </c>
      <c r="AQ10" s="2">
        <v>2011</v>
      </c>
      <c r="AR10" s="48">
        <v>2011</v>
      </c>
      <c r="AS10" s="48">
        <v>2012</v>
      </c>
      <c r="AT10" s="48">
        <v>2010</v>
      </c>
      <c r="AU10" s="2"/>
      <c r="AV10">
        <f t="shared" si="0"/>
        <v>2009</v>
      </c>
    </row>
    <row r="11" spans="1:56" x14ac:dyDescent="0.25">
      <c r="B11" s="15" t="s">
        <v>32</v>
      </c>
      <c r="C11" s="2">
        <v>5</v>
      </c>
      <c r="D11" s="2">
        <v>8</v>
      </c>
      <c r="E11" s="2">
        <v>7</v>
      </c>
      <c r="F11" s="2"/>
      <c r="G11" s="2">
        <v>2</v>
      </c>
      <c r="H11" s="2">
        <v>8</v>
      </c>
      <c r="I11" s="2">
        <v>12</v>
      </c>
      <c r="J11" s="2">
        <v>4</v>
      </c>
      <c r="K11" s="2">
        <v>8</v>
      </c>
      <c r="L11" s="2">
        <v>8</v>
      </c>
      <c r="M11" s="2">
        <v>6</v>
      </c>
      <c r="N11" s="2">
        <v>1</v>
      </c>
      <c r="O11" s="2">
        <v>6</v>
      </c>
      <c r="P11" s="2">
        <v>7</v>
      </c>
      <c r="Q11" s="2">
        <v>5</v>
      </c>
      <c r="R11" s="2">
        <v>8</v>
      </c>
      <c r="S11" s="2">
        <v>8</v>
      </c>
      <c r="T11" s="2">
        <v>11</v>
      </c>
      <c r="U11" s="2"/>
      <c r="V11" s="2">
        <v>12</v>
      </c>
      <c r="W11" s="2"/>
      <c r="X11" s="2">
        <v>4</v>
      </c>
      <c r="Y11" s="2"/>
      <c r="Z11" s="2">
        <v>3</v>
      </c>
      <c r="AA11" s="2">
        <v>1</v>
      </c>
      <c r="AB11" s="2">
        <v>12</v>
      </c>
      <c r="AC11" s="2">
        <v>8</v>
      </c>
      <c r="AD11" s="2">
        <v>12</v>
      </c>
      <c r="AE11" s="2">
        <v>4</v>
      </c>
      <c r="AF11" s="2">
        <v>1</v>
      </c>
      <c r="AG11" s="2">
        <v>9</v>
      </c>
      <c r="AH11" s="2">
        <v>7</v>
      </c>
      <c r="AI11" s="2">
        <v>11</v>
      </c>
      <c r="AJ11" s="2"/>
      <c r="AK11" s="2"/>
      <c r="AL11" s="2"/>
      <c r="AM11" s="34">
        <v>5</v>
      </c>
      <c r="AN11" s="34">
        <v>8</v>
      </c>
      <c r="AO11" s="34">
        <v>8</v>
      </c>
      <c r="AP11" s="34">
        <v>6</v>
      </c>
      <c r="AQ11" s="2">
        <v>1</v>
      </c>
      <c r="AR11" s="48">
        <v>12</v>
      </c>
      <c r="AS11" s="48">
        <v>11</v>
      </c>
      <c r="AT11" s="48"/>
      <c r="AU11" s="2"/>
      <c r="AV11">
        <f t="shared" si="0"/>
        <v>0</v>
      </c>
    </row>
    <row r="12" spans="1:56" x14ac:dyDescent="0.25">
      <c r="A12">
        <v>5</v>
      </c>
      <c r="B12" s="1" t="s">
        <v>5</v>
      </c>
      <c r="C12" s="2">
        <v>50</v>
      </c>
      <c r="D12" s="2">
        <v>10</v>
      </c>
      <c r="E12" s="2">
        <v>22</v>
      </c>
      <c r="F12" s="2">
        <f>(5+75)/2</f>
        <v>40</v>
      </c>
      <c r="G12" s="2">
        <v>27</v>
      </c>
      <c r="H12" s="2">
        <v>26</v>
      </c>
      <c r="I12" s="2">
        <v>30</v>
      </c>
      <c r="J12" s="2">
        <v>35</v>
      </c>
      <c r="K12" s="2">
        <v>25</v>
      </c>
      <c r="L12" s="2">
        <v>7</v>
      </c>
      <c r="M12" s="2">
        <v>24</v>
      </c>
      <c r="N12" s="2">
        <v>48</v>
      </c>
      <c r="O12" s="2">
        <v>75</v>
      </c>
      <c r="P12" s="2">
        <v>50</v>
      </c>
      <c r="Q12" s="2">
        <v>15</v>
      </c>
      <c r="R12" s="2">
        <v>85</v>
      </c>
      <c r="S12" s="2">
        <v>27</v>
      </c>
      <c r="T12" s="2">
        <v>36</v>
      </c>
      <c r="U12" s="2">
        <v>26</v>
      </c>
      <c r="V12" s="2">
        <v>350</v>
      </c>
      <c r="W12" s="2">
        <v>40</v>
      </c>
      <c r="X12" s="2">
        <v>40</v>
      </c>
      <c r="Y12" s="2">
        <v>45</v>
      </c>
      <c r="Z12" s="2">
        <v>40</v>
      </c>
      <c r="AA12" s="2">
        <v>95</v>
      </c>
      <c r="AB12" s="2">
        <v>100</v>
      </c>
      <c r="AC12" s="2">
        <v>25</v>
      </c>
      <c r="AD12" s="2">
        <v>34</v>
      </c>
      <c r="AE12" s="2">
        <v>50</v>
      </c>
      <c r="AF12" s="2">
        <v>18</v>
      </c>
      <c r="AG12" s="2">
        <v>25</v>
      </c>
      <c r="AH12" s="2">
        <v>31</v>
      </c>
      <c r="AI12" s="2">
        <v>50</v>
      </c>
      <c r="AJ12" s="2">
        <v>120</v>
      </c>
      <c r="AK12" s="2">
        <v>120</v>
      </c>
      <c r="AL12" s="2"/>
      <c r="AM12" s="34">
        <v>200</v>
      </c>
      <c r="AN12" s="34">
        <v>26</v>
      </c>
      <c r="AO12" s="34">
        <v>40</v>
      </c>
      <c r="AP12" s="34">
        <v>45</v>
      </c>
      <c r="AQ12" s="2">
        <v>140</v>
      </c>
      <c r="AR12" s="48">
        <v>40</v>
      </c>
      <c r="AS12" s="48">
        <v>60</v>
      </c>
      <c r="AT12" s="48">
        <v>150</v>
      </c>
      <c r="AU12" s="2"/>
      <c r="AV12">
        <f t="shared" si="0"/>
        <v>40</v>
      </c>
      <c r="AX12">
        <f>SUMIF($C$12:$AL$12,"&gt;0",$C$12:$AL$12)</f>
        <v>1841</v>
      </c>
      <c r="AY12">
        <f>COUNTIF($C$12:$AL$12,"&gt;0")</f>
        <v>35</v>
      </c>
      <c r="AZ12">
        <f>AX12/AY12</f>
        <v>52.6</v>
      </c>
      <c r="BA12">
        <f>MIN(C12:AJ12)</f>
        <v>7</v>
      </c>
      <c r="BB12">
        <f>MAX(C12:AJ12)</f>
        <v>350</v>
      </c>
    </row>
    <row r="13" spans="1:56" x14ac:dyDescent="0.25">
      <c r="B13" s="1" t="s">
        <v>34</v>
      </c>
      <c r="C13" s="2">
        <v>1</v>
      </c>
      <c r="D13" s="2">
        <v>1</v>
      </c>
      <c r="E13" s="2">
        <v>1</v>
      </c>
      <c r="F13" s="2">
        <v>1</v>
      </c>
      <c r="G13" s="2">
        <v>1</v>
      </c>
      <c r="H13" s="2">
        <v>1</v>
      </c>
      <c r="I13" s="2">
        <v>1</v>
      </c>
      <c r="J13" s="2">
        <v>1</v>
      </c>
      <c r="K13" s="2">
        <v>1</v>
      </c>
      <c r="L13" s="2">
        <v>1</v>
      </c>
      <c r="M13" s="2">
        <v>1</v>
      </c>
      <c r="N13" s="2">
        <v>1</v>
      </c>
      <c r="O13" s="2">
        <v>2</v>
      </c>
      <c r="P13" s="2">
        <v>1</v>
      </c>
      <c r="Q13" s="2">
        <v>1</v>
      </c>
      <c r="R13" s="2">
        <v>1</v>
      </c>
      <c r="S13" s="2">
        <v>1</v>
      </c>
      <c r="T13" s="2">
        <v>1</v>
      </c>
      <c r="U13" s="2">
        <v>1</v>
      </c>
      <c r="V13" s="2"/>
      <c r="W13" s="2"/>
      <c r="X13" s="2">
        <v>1</v>
      </c>
      <c r="Y13" s="2">
        <v>1</v>
      </c>
      <c r="Z13" s="2">
        <v>1</v>
      </c>
      <c r="AA13" s="2">
        <v>2</v>
      </c>
      <c r="AB13" s="2">
        <v>2</v>
      </c>
      <c r="AC13" s="2">
        <v>1</v>
      </c>
      <c r="AD13" s="2">
        <v>1</v>
      </c>
      <c r="AE13" s="2">
        <v>1</v>
      </c>
      <c r="AF13" s="2">
        <v>1</v>
      </c>
      <c r="AG13" s="2">
        <v>1</v>
      </c>
      <c r="AH13" s="2">
        <v>1</v>
      </c>
      <c r="AI13" s="2">
        <v>1</v>
      </c>
      <c r="AJ13" s="2">
        <v>3</v>
      </c>
      <c r="AK13" s="2" t="s">
        <v>159</v>
      </c>
      <c r="AL13" s="2"/>
      <c r="AM13" s="34">
        <v>4</v>
      </c>
      <c r="AN13" s="34">
        <v>1</v>
      </c>
      <c r="AO13" s="34">
        <v>1</v>
      </c>
      <c r="AP13" s="34">
        <v>1</v>
      </c>
      <c r="AQ13" s="2"/>
      <c r="AR13" s="48">
        <v>1</v>
      </c>
      <c r="AS13" s="48">
        <v>1</v>
      </c>
      <c r="AT13" s="48">
        <v>3</v>
      </c>
      <c r="AU13" s="2"/>
      <c r="AV13">
        <f t="shared" si="0"/>
        <v>0</v>
      </c>
      <c r="AX13" s="61">
        <f>SUMIF(C13:AL13,"&gt;"&amp;0,C13:AL13)</f>
        <v>37</v>
      </c>
      <c r="AY13" s="61">
        <f>COUNTIF(C13:AL13,"&gt;"&amp;0)</f>
        <v>32</v>
      </c>
      <c r="AZ13" s="61">
        <f t="shared" ref="AZ13:AZ14" si="1">AX13/AY13</f>
        <v>1.15625</v>
      </c>
      <c r="BA13">
        <f>MIN(C13:AJ13)</f>
        <v>1</v>
      </c>
      <c r="BB13">
        <f>MAX(C13:AJ13)</f>
        <v>3</v>
      </c>
    </row>
    <row r="14" spans="1:56" x14ac:dyDescent="0.25">
      <c r="B14" s="1" t="s">
        <v>35</v>
      </c>
      <c r="C14" s="2">
        <v>4</v>
      </c>
      <c r="D14" s="2"/>
      <c r="E14" s="2"/>
      <c r="F14" s="77"/>
      <c r="G14" s="2"/>
      <c r="H14" s="2"/>
      <c r="I14" s="2"/>
      <c r="J14" s="2"/>
      <c r="K14" s="2"/>
      <c r="L14" s="2"/>
      <c r="M14" s="2"/>
      <c r="N14" s="2"/>
      <c r="O14" s="2"/>
      <c r="P14" s="2"/>
      <c r="Q14" s="2"/>
      <c r="R14" s="2"/>
      <c r="S14" s="2"/>
      <c r="T14" s="2"/>
      <c r="U14" s="2">
        <v>1</v>
      </c>
      <c r="V14" s="2"/>
      <c r="W14" s="2"/>
      <c r="X14" s="2"/>
      <c r="Y14" s="2"/>
      <c r="Z14" s="2"/>
      <c r="AA14" s="2"/>
      <c r="AB14" s="2"/>
      <c r="AC14" s="2"/>
      <c r="AD14" s="2"/>
      <c r="AE14" s="2"/>
      <c r="AF14" s="2"/>
      <c r="AG14" s="2"/>
      <c r="AH14" s="2"/>
      <c r="AI14" s="2"/>
      <c r="AJ14" s="2"/>
      <c r="AK14" s="2"/>
      <c r="AL14" s="2"/>
      <c r="AM14" s="34"/>
      <c r="AN14" s="34"/>
      <c r="AO14" s="34"/>
      <c r="AP14" s="34"/>
      <c r="AQ14" s="2"/>
      <c r="AR14" s="48"/>
      <c r="AS14" s="48"/>
      <c r="AT14" s="48"/>
      <c r="AU14" s="2"/>
      <c r="AV14">
        <f t="shared" si="0"/>
        <v>0</v>
      </c>
      <c r="AX14" s="61">
        <f>SUMIF(C14:AL14,"&gt;"&amp;0,C14:AL14)</f>
        <v>5</v>
      </c>
      <c r="AY14" s="61">
        <f>COUNTIF(C14:AL14,"&gt;"&amp;0)</f>
        <v>2</v>
      </c>
      <c r="AZ14" s="61">
        <f t="shared" si="1"/>
        <v>2.5</v>
      </c>
      <c r="BA14">
        <f>MIN(C14:AJ14)</f>
        <v>1</v>
      </c>
      <c r="BB14">
        <f>MAX(C14:AJ14)</f>
        <v>4</v>
      </c>
    </row>
    <row r="15" spans="1:56" ht="45" x14ac:dyDescent="0.25">
      <c r="A15">
        <v>6</v>
      </c>
      <c r="B15" s="5" t="s">
        <v>6</v>
      </c>
      <c r="C15" s="2">
        <v>200</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34"/>
      <c r="AN15" s="34"/>
      <c r="AO15" s="34"/>
      <c r="AP15" s="34"/>
      <c r="AQ15" s="2"/>
      <c r="AR15" s="48"/>
      <c r="AS15" s="48"/>
      <c r="AT15" s="48"/>
      <c r="AU15" s="2"/>
      <c r="AV15">
        <f t="shared" si="0"/>
        <v>0</v>
      </c>
    </row>
    <row r="16" spans="1:56" ht="30" x14ac:dyDescent="0.25">
      <c r="A16">
        <v>7</v>
      </c>
      <c r="B16" s="10" t="s">
        <v>7</v>
      </c>
      <c r="C16" s="2" t="s">
        <v>36</v>
      </c>
      <c r="D16" s="2" t="s">
        <v>36</v>
      </c>
      <c r="E16" s="2" t="s">
        <v>36</v>
      </c>
      <c r="F16" s="2" t="s">
        <v>36</v>
      </c>
      <c r="G16" s="2" t="s">
        <v>36</v>
      </c>
      <c r="H16" s="2" t="s">
        <v>36</v>
      </c>
      <c r="I16" s="2" t="s">
        <v>36</v>
      </c>
      <c r="J16" s="2" t="s">
        <v>38</v>
      </c>
      <c r="K16" s="2" t="s">
        <v>36</v>
      </c>
      <c r="L16" s="2" t="s">
        <v>36</v>
      </c>
      <c r="M16" s="2" t="s">
        <v>36</v>
      </c>
      <c r="N16" s="2" t="s">
        <v>36</v>
      </c>
      <c r="O16" s="2" t="s">
        <v>36</v>
      </c>
      <c r="P16" s="2" t="s">
        <v>36</v>
      </c>
      <c r="Q16" s="2" t="s">
        <v>36</v>
      </c>
      <c r="R16" s="2" t="s">
        <v>36</v>
      </c>
      <c r="S16" s="2" t="s">
        <v>36</v>
      </c>
      <c r="T16" s="2" t="s">
        <v>36</v>
      </c>
      <c r="U16" s="2" t="s">
        <v>36</v>
      </c>
      <c r="V16" s="2"/>
      <c r="W16" s="2" t="s">
        <v>36</v>
      </c>
      <c r="X16" s="2" t="s">
        <v>38</v>
      </c>
      <c r="Y16" s="2" t="s">
        <v>36</v>
      </c>
      <c r="Z16" s="2" t="s">
        <v>36</v>
      </c>
      <c r="AA16" s="2"/>
      <c r="AB16" s="2"/>
      <c r="AC16" s="2"/>
      <c r="AD16" s="2" t="s">
        <v>36</v>
      </c>
      <c r="AE16" s="2" t="s">
        <v>36</v>
      </c>
      <c r="AF16" s="2" t="s">
        <v>36</v>
      </c>
      <c r="AG16" s="2"/>
      <c r="AH16" s="2" t="s">
        <v>36</v>
      </c>
      <c r="AI16" s="2" t="s">
        <v>36</v>
      </c>
      <c r="AJ16" s="2" t="s">
        <v>36</v>
      </c>
      <c r="AK16" s="2" t="s">
        <v>38</v>
      </c>
      <c r="AL16" s="2"/>
      <c r="AM16" s="34" t="s">
        <v>36</v>
      </c>
      <c r="AN16" s="48" t="s">
        <v>36</v>
      </c>
      <c r="AO16" s="34" t="s">
        <v>36</v>
      </c>
      <c r="AP16" s="34" t="s">
        <v>36</v>
      </c>
      <c r="AQ16" s="2"/>
      <c r="AR16" s="48" t="s">
        <v>36</v>
      </c>
      <c r="AS16" s="48" t="s">
        <v>36</v>
      </c>
      <c r="AT16" s="48" t="s">
        <v>36</v>
      </c>
      <c r="AU16" s="2"/>
      <c r="AV16" t="str">
        <f t="shared" si="0"/>
        <v>yes</v>
      </c>
      <c r="AX16" t="s">
        <v>242</v>
      </c>
      <c r="BD16" t="s">
        <v>118</v>
      </c>
    </row>
    <row r="17" spans="1:61" ht="30" x14ac:dyDescent="0.25">
      <c r="A17">
        <v>8</v>
      </c>
      <c r="B17" s="8" t="s">
        <v>8</v>
      </c>
      <c r="C17" s="2" t="s">
        <v>37</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34" t="s">
        <v>37</v>
      </c>
      <c r="AN17" s="34"/>
      <c r="AO17" s="34"/>
      <c r="AP17" s="34"/>
      <c r="AQ17" s="2"/>
      <c r="AR17" s="48"/>
      <c r="AS17" s="48"/>
      <c r="AT17" s="48"/>
      <c r="AU17" s="2"/>
      <c r="AV17">
        <f t="shared" si="0"/>
        <v>0</v>
      </c>
      <c r="BE17" t="s">
        <v>119</v>
      </c>
      <c r="BF17" t="s">
        <v>120</v>
      </c>
      <c r="BG17" t="s">
        <v>121</v>
      </c>
      <c r="BH17" t="s">
        <v>243</v>
      </c>
      <c r="BI17" t="s">
        <v>244</v>
      </c>
    </row>
    <row r="18" spans="1:61" x14ac:dyDescent="0.25">
      <c r="B18" s="8" t="s">
        <v>113</v>
      </c>
      <c r="C18" s="2" t="s">
        <v>114</v>
      </c>
      <c r="D18" s="2" t="s">
        <v>114</v>
      </c>
      <c r="E18" s="2" t="s">
        <v>116</v>
      </c>
      <c r="F18" s="2" t="s">
        <v>116</v>
      </c>
      <c r="G18" s="2" t="s">
        <v>116</v>
      </c>
      <c r="H18" s="2" t="s">
        <v>116</v>
      </c>
      <c r="I18" s="2" t="s">
        <v>117</v>
      </c>
      <c r="J18" s="2" t="s">
        <v>117</v>
      </c>
      <c r="K18" s="2" t="s">
        <v>117</v>
      </c>
      <c r="L18" s="2" t="s">
        <v>117</v>
      </c>
      <c r="M18" s="2" t="s">
        <v>117</v>
      </c>
      <c r="N18" s="2" t="s">
        <v>117</v>
      </c>
      <c r="O18" s="2" t="s">
        <v>116</v>
      </c>
      <c r="P18" s="2" t="s">
        <v>116</v>
      </c>
      <c r="Q18" s="2" t="s">
        <v>117</v>
      </c>
      <c r="R18" s="2" t="s">
        <v>117</v>
      </c>
      <c r="S18" s="2" t="s">
        <v>117</v>
      </c>
      <c r="T18" s="2" t="s">
        <v>116</v>
      </c>
      <c r="U18" s="2" t="s">
        <v>117</v>
      </c>
      <c r="V18" s="2" t="s">
        <v>116</v>
      </c>
      <c r="W18" s="2" t="s">
        <v>117</v>
      </c>
      <c r="X18" s="2" t="s">
        <v>116</v>
      </c>
      <c r="Y18" s="2" t="s">
        <v>117</v>
      </c>
      <c r="Z18" s="2" t="s">
        <v>117</v>
      </c>
      <c r="AA18" s="2" t="s">
        <v>117</v>
      </c>
      <c r="AB18" s="2" t="s">
        <v>116</v>
      </c>
      <c r="AC18" s="2" t="s">
        <v>115</v>
      </c>
      <c r="AD18" s="2" t="s">
        <v>114</v>
      </c>
      <c r="AE18" s="2" t="s">
        <v>117</v>
      </c>
      <c r="AF18" s="2" t="s">
        <v>117</v>
      </c>
      <c r="AG18" s="2" t="s">
        <v>116</v>
      </c>
      <c r="AH18" s="2" t="s">
        <v>117</v>
      </c>
      <c r="AI18" s="2" t="s">
        <v>116</v>
      </c>
      <c r="AJ18" s="2" t="s">
        <v>116</v>
      </c>
      <c r="AK18" s="2"/>
      <c r="AL18" s="2"/>
      <c r="AM18" s="34" t="s">
        <v>114</v>
      </c>
      <c r="AN18" s="34" t="s">
        <v>116</v>
      </c>
      <c r="AO18" s="34" t="s">
        <v>117</v>
      </c>
      <c r="AP18" s="34" t="s">
        <v>117</v>
      </c>
      <c r="AQ18" s="81" t="s">
        <v>117</v>
      </c>
      <c r="AR18" s="48" t="s">
        <v>114</v>
      </c>
      <c r="AS18" s="48" t="s">
        <v>116</v>
      </c>
      <c r="AT18" s="48" t="s">
        <v>116</v>
      </c>
      <c r="AU18" s="2"/>
      <c r="BD18" t="s">
        <v>117</v>
      </c>
      <c r="BE18" s="24">
        <f>SUMIF($C$18:$AL$18,BD18,$C$21:$AL$21)</f>
        <v>206440</v>
      </c>
      <c r="BF18">
        <f>COUNTIF($C$18:$AL$18,BD18)</f>
        <v>17</v>
      </c>
      <c r="BG18" s="24">
        <f>BE18/BF18</f>
        <v>12143.529411764706</v>
      </c>
      <c r="BH18">
        <f>MIN(C21:AJ21)</f>
        <v>0</v>
      </c>
      <c r="BI18">
        <f>MAX(C21:AJ21)</f>
        <v>540000</v>
      </c>
    </row>
    <row r="19" spans="1:61" ht="30" x14ac:dyDescent="0.25">
      <c r="B19" s="9" t="s">
        <v>9</v>
      </c>
      <c r="C19" s="2">
        <v>25000</v>
      </c>
      <c r="D19" s="2">
        <v>30000</v>
      </c>
      <c r="E19" s="2">
        <v>82000</v>
      </c>
      <c r="F19" s="2">
        <f>F20+F21</f>
        <v>184000</v>
      </c>
      <c r="G19" s="2">
        <f>G20+G21</f>
        <v>74763</v>
      </c>
      <c r="H19" s="2">
        <v>40000</v>
      </c>
      <c r="I19" s="2">
        <f>I20+I21</f>
        <v>43445</v>
      </c>
      <c r="J19" s="2">
        <v>41650</v>
      </c>
      <c r="K19" s="2">
        <v>18000</v>
      </c>
      <c r="L19" s="2">
        <f>L20+L21</f>
        <v>15672</v>
      </c>
      <c r="M19" s="2">
        <v>30000</v>
      </c>
      <c r="N19" s="2">
        <v>30000</v>
      </c>
      <c r="O19" s="2">
        <f>O20+O21</f>
        <v>100000</v>
      </c>
      <c r="P19" s="2">
        <v>50000</v>
      </c>
      <c r="Q19" s="2">
        <v>30000</v>
      </c>
      <c r="R19" s="2">
        <v>35000</v>
      </c>
      <c r="S19" s="2">
        <v>50000</v>
      </c>
      <c r="T19" s="2">
        <v>50000</v>
      </c>
      <c r="U19" s="2">
        <v>12000</v>
      </c>
      <c r="V19" s="2">
        <f>V20+V21</f>
        <v>365000</v>
      </c>
      <c r="W19" s="2">
        <f>W20+W21</f>
        <v>20000</v>
      </c>
      <c r="X19" s="2">
        <v>600000</v>
      </c>
      <c r="Y19" s="2">
        <f>Y20+Y21</f>
        <v>17300</v>
      </c>
      <c r="Z19" s="2">
        <v>18000</v>
      </c>
      <c r="AA19" s="2">
        <f>AA20+AA21</f>
        <v>60000</v>
      </c>
      <c r="AB19" s="2">
        <f>AB20+AB21</f>
        <v>202000</v>
      </c>
      <c r="AC19" s="2">
        <v>32000</v>
      </c>
      <c r="AD19" s="2">
        <v>45000</v>
      </c>
      <c r="AE19" s="2">
        <v>33000</v>
      </c>
      <c r="AF19" s="2">
        <f>AF20+AF21</f>
        <v>30355</v>
      </c>
      <c r="AG19" s="2">
        <f>AG20+AG21</f>
        <v>99000</v>
      </c>
      <c r="AH19" s="2">
        <v>30000</v>
      </c>
      <c r="AI19" s="2">
        <v>85000</v>
      </c>
      <c r="AJ19" s="2">
        <v>172471</v>
      </c>
      <c r="AK19" s="2"/>
      <c r="AL19" s="2"/>
      <c r="AM19" s="34">
        <v>25000</v>
      </c>
      <c r="AN19" s="34">
        <v>40000</v>
      </c>
      <c r="AO19" s="34">
        <v>18000</v>
      </c>
      <c r="AP19" s="34">
        <v>30000</v>
      </c>
      <c r="AQ19" s="81">
        <f>AQ20+AQ21</f>
        <v>60000</v>
      </c>
      <c r="AR19" s="48">
        <v>45000</v>
      </c>
      <c r="AS19" s="48">
        <v>85000</v>
      </c>
      <c r="AT19" s="48">
        <v>172471</v>
      </c>
      <c r="AU19" s="2"/>
      <c r="AV19">
        <f t="shared" ref="AV19:AV34" si="2">INDEX(C19:AU19,0,$AV$4)</f>
        <v>20000</v>
      </c>
      <c r="AX19" t="s">
        <v>119</v>
      </c>
      <c r="AY19" t="s">
        <v>120</v>
      </c>
      <c r="AZ19" t="s">
        <v>121</v>
      </c>
      <c r="BA19" t="s">
        <v>243</v>
      </c>
      <c r="BB19" t="s">
        <v>244</v>
      </c>
      <c r="BD19" t="s">
        <v>116</v>
      </c>
      <c r="BE19" s="24">
        <f>SUMIF($C$18:$AL$18,BD19,$C$21:$AL$21)</f>
        <v>1745583</v>
      </c>
      <c r="BF19">
        <f>COUNTIF($C$18:$AL$18,BD19)</f>
        <v>13</v>
      </c>
      <c r="BG19" s="24">
        <f t="shared" ref="BG19:BG20" si="3">BE19/BF19</f>
        <v>134275.61538461538</v>
      </c>
    </row>
    <row r="20" spans="1:61" ht="30" x14ac:dyDescent="0.25">
      <c r="A20">
        <v>9</v>
      </c>
      <c r="B20" s="1" t="s">
        <v>10</v>
      </c>
      <c r="C20" s="2">
        <v>20000</v>
      </c>
      <c r="D20" s="2">
        <v>16000</v>
      </c>
      <c r="E20" s="2">
        <v>14500</v>
      </c>
      <c r="F20" s="2">
        <v>24000</v>
      </c>
      <c r="G20" s="2">
        <v>14609</v>
      </c>
      <c r="H20" s="2">
        <v>15000</v>
      </c>
      <c r="I20" s="2">
        <v>17110</v>
      </c>
      <c r="J20" s="2">
        <v>20500</v>
      </c>
      <c r="K20" s="2">
        <v>13000</v>
      </c>
      <c r="L20" s="2">
        <v>13672</v>
      </c>
      <c r="M20" s="2">
        <v>20000</v>
      </c>
      <c r="N20" s="2">
        <v>20000</v>
      </c>
      <c r="O20" s="2">
        <v>26000</v>
      </c>
      <c r="P20" s="2">
        <v>15500</v>
      </c>
      <c r="Q20" s="2">
        <v>11000</v>
      </c>
      <c r="R20" s="2">
        <v>25000</v>
      </c>
      <c r="S20" s="2">
        <v>14700</v>
      </c>
      <c r="T20" s="2">
        <v>18000</v>
      </c>
      <c r="U20" s="2">
        <v>12000</v>
      </c>
      <c r="V20" s="2">
        <v>15000</v>
      </c>
      <c r="W20" s="2">
        <v>13000</v>
      </c>
      <c r="X20" s="2">
        <v>18000</v>
      </c>
      <c r="Y20" s="2">
        <v>16000</v>
      </c>
      <c r="Z20" s="2">
        <v>15500</v>
      </c>
      <c r="AA20" s="2">
        <v>40000</v>
      </c>
      <c r="AB20" s="2">
        <v>52042</v>
      </c>
      <c r="AC20" s="2">
        <v>17000</v>
      </c>
      <c r="AD20" s="2">
        <v>14000</v>
      </c>
      <c r="AE20" s="2">
        <v>23000</v>
      </c>
      <c r="AF20" s="2">
        <v>16500</v>
      </c>
      <c r="AG20" s="2">
        <v>13000</v>
      </c>
      <c r="AH20" s="2">
        <v>17000</v>
      </c>
      <c r="AI20" s="2">
        <v>16000</v>
      </c>
      <c r="AJ20" s="2">
        <v>80000</v>
      </c>
      <c r="AK20" s="2"/>
      <c r="AL20" s="2"/>
      <c r="AM20" s="34">
        <v>80000</v>
      </c>
      <c r="AN20" s="34">
        <v>15000</v>
      </c>
      <c r="AO20" s="34">
        <v>13000</v>
      </c>
      <c r="AP20" s="34">
        <v>20000</v>
      </c>
      <c r="AQ20" s="81">
        <v>40000</v>
      </c>
      <c r="AR20" s="48">
        <v>14000</v>
      </c>
      <c r="AS20" s="48">
        <v>16000</v>
      </c>
      <c r="AT20" s="48">
        <v>80000</v>
      </c>
      <c r="AU20" s="2"/>
      <c r="AV20">
        <f t="shared" si="2"/>
        <v>13000</v>
      </c>
      <c r="AX20">
        <f>SUMIF($C$18:$AL$18,BD18,$C$20:$AL$20)</f>
        <v>307982</v>
      </c>
      <c r="AY20">
        <f>COUNTIF($C$18:$AL$18,BD18)</f>
        <v>17</v>
      </c>
      <c r="AZ20">
        <f>AX20/AY20</f>
        <v>18116.588235294119</v>
      </c>
      <c r="BA20">
        <f>MIN(C20:AJ20)</f>
        <v>11000</v>
      </c>
      <c r="BB20">
        <f>MAX(C20:AJ20)</f>
        <v>80000</v>
      </c>
      <c r="BD20" t="s">
        <v>114</v>
      </c>
      <c r="BE20" s="24">
        <f>SUMIF($C$18:$AL$18,BD20,$C$21:$AL$21)</f>
        <v>48000</v>
      </c>
      <c r="BF20">
        <f>COUNTIF($C$18:$AL$18,BD20)</f>
        <v>3</v>
      </c>
      <c r="BG20" s="24">
        <f t="shared" si="3"/>
        <v>16000</v>
      </c>
    </row>
    <row r="21" spans="1:61" ht="30" x14ac:dyDescent="0.25">
      <c r="A21">
        <v>10</v>
      </c>
      <c r="B21" s="1" t="s">
        <v>11</v>
      </c>
      <c r="C21" s="2">
        <v>3000</v>
      </c>
      <c r="D21" s="2">
        <v>14000</v>
      </c>
      <c r="E21" s="2">
        <v>67500</v>
      </c>
      <c r="F21" s="2">
        <v>160000</v>
      </c>
      <c r="G21" s="2">
        <v>60154</v>
      </c>
      <c r="H21" s="2">
        <v>30000</v>
      </c>
      <c r="I21" s="2">
        <v>26335</v>
      </c>
      <c r="J21" s="2">
        <v>21150</v>
      </c>
      <c r="K21" s="2">
        <v>5000</v>
      </c>
      <c r="L21" s="2">
        <v>2000</v>
      </c>
      <c r="M21" s="2">
        <v>10000</v>
      </c>
      <c r="N21" s="2">
        <v>10000</v>
      </c>
      <c r="O21" s="2">
        <v>74000</v>
      </c>
      <c r="P21" s="2">
        <v>34500</v>
      </c>
      <c r="Q21" s="2">
        <v>19000</v>
      </c>
      <c r="R21" s="2">
        <v>10000</v>
      </c>
      <c r="S21" s="2">
        <v>35300</v>
      </c>
      <c r="T21" s="2">
        <v>32000</v>
      </c>
      <c r="U21" s="2">
        <v>0</v>
      </c>
      <c r="V21" s="2">
        <v>350000</v>
      </c>
      <c r="W21" s="2">
        <v>7000</v>
      </c>
      <c r="X21" s="2">
        <v>540000</v>
      </c>
      <c r="Y21" s="2">
        <f>900+100+300</f>
        <v>1300</v>
      </c>
      <c r="Z21" s="2">
        <v>2500</v>
      </c>
      <c r="AA21" s="2">
        <v>20000</v>
      </c>
      <c r="AB21" s="2">
        <f>137958+12000</f>
        <v>149958</v>
      </c>
      <c r="AC21" s="2">
        <v>15000</v>
      </c>
      <c r="AD21" s="2">
        <v>31000</v>
      </c>
      <c r="AE21" s="2">
        <v>10000</v>
      </c>
      <c r="AF21" s="2">
        <v>13855</v>
      </c>
      <c r="AG21" s="2">
        <f>82000+4000</f>
        <v>86000</v>
      </c>
      <c r="AH21" s="2">
        <v>13000</v>
      </c>
      <c r="AI21" s="2">
        <v>69000</v>
      </c>
      <c r="AJ21" s="2">
        <f>AJ19-AJ20</f>
        <v>92471</v>
      </c>
      <c r="AK21" s="2"/>
      <c r="AL21" s="2"/>
      <c r="AM21" s="34">
        <v>3000</v>
      </c>
      <c r="AN21" s="34">
        <v>30000</v>
      </c>
      <c r="AO21" s="34">
        <v>5000</v>
      </c>
      <c r="AP21" s="34">
        <v>10000</v>
      </c>
      <c r="AQ21" s="81">
        <v>20000</v>
      </c>
      <c r="AR21" s="48">
        <v>31000</v>
      </c>
      <c r="AS21" s="48">
        <v>69000</v>
      </c>
      <c r="AT21" s="48">
        <f>AT19-AT20</f>
        <v>92471</v>
      </c>
      <c r="AU21" s="2"/>
      <c r="AV21">
        <f t="shared" si="2"/>
        <v>7000</v>
      </c>
      <c r="AX21">
        <f>SUMIF($C$18:$AL$18,BD19,$C$20:$AL$20)</f>
        <v>321651</v>
      </c>
      <c r="AY21">
        <f>COUNTIF($C$18:$AL$18,BD19)</f>
        <v>13</v>
      </c>
      <c r="AZ21">
        <f>AX21/AY21</f>
        <v>24742.384615384617</v>
      </c>
      <c r="BA21">
        <f>MIN(C21:AJ21)</f>
        <v>0</v>
      </c>
      <c r="BB21">
        <f>MAX(C21:AJ21)</f>
        <v>540000</v>
      </c>
    </row>
    <row r="22" spans="1:61" ht="45" x14ac:dyDescent="0.25">
      <c r="A22">
        <v>11</v>
      </c>
      <c r="B22" s="13" t="s">
        <v>12</v>
      </c>
      <c r="C22" s="2" t="s">
        <v>38</v>
      </c>
      <c r="D22" s="2" t="s">
        <v>38</v>
      </c>
      <c r="E22" s="2" t="s">
        <v>38</v>
      </c>
      <c r="F22" s="2" t="s">
        <v>155</v>
      </c>
      <c r="G22" s="2" t="s">
        <v>38</v>
      </c>
      <c r="H22" s="2" t="s">
        <v>38</v>
      </c>
      <c r="I22" s="2" t="s">
        <v>38</v>
      </c>
      <c r="J22" s="2" t="s">
        <v>92</v>
      </c>
      <c r="K22" s="2" t="s">
        <v>38</v>
      </c>
      <c r="L22" s="2" t="s">
        <v>38</v>
      </c>
      <c r="M22" s="2" t="s">
        <v>38</v>
      </c>
      <c r="N22" s="7" t="s">
        <v>96</v>
      </c>
      <c r="O22" s="2" t="s">
        <v>156</v>
      </c>
      <c r="P22" s="7" t="s">
        <v>98</v>
      </c>
      <c r="Q22" s="2" t="s">
        <v>38</v>
      </c>
      <c r="R22" s="2" t="s">
        <v>99</v>
      </c>
      <c r="S22" s="2" t="s">
        <v>38</v>
      </c>
      <c r="T22" s="7" t="s">
        <v>101</v>
      </c>
      <c r="U22" s="2"/>
      <c r="V22" s="2" t="s">
        <v>155</v>
      </c>
      <c r="W22" s="2" t="s">
        <v>161</v>
      </c>
      <c r="X22" s="2" t="s">
        <v>38</v>
      </c>
      <c r="Y22" s="2"/>
      <c r="Z22" s="2"/>
      <c r="AA22" s="2" t="s">
        <v>38</v>
      </c>
      <c r="AB22" s="2" t="s">
        <v>38</v>
      </c>
      <c r="AC22" s="2" t="s">
        <v>38</v>
      </c>
      <c r="AD22" s="2" t="s">
        <v>105</v>
      </c>
      <c r="AE22" s="2" t="s">
        <v>38</v>
      </c>
      <c r="AF22" s="2" t="s">
        <v>38</v>
      </c>
      <c r="AG22" s="2" t="s">
        <v>109</v>
      </c>
      <c r="AH22" s="2" t="s">
        <v>110</v>
      </c>
      <c r="AI22" s="2"/>
      <c r="AJ22" s="2" t="s">
        <v>38</v>
      </c>
      <c r="AK22" s="2" t="s">
        <v>160</v>
      </c>
      <c r="AL22" s="2"/>
      <c r="AM22" s="34" t="s">
        <v>38</v>
      </c>
      <c r="AN22" s="34" t="s">
        <v>38</v>
      </c>
      <c r="AO22" s="34" t="s">
        <v>38</v>
      </c>
      <c r="AP22" s="34" t="s">
        <v>38</v>
      </c>
      <c r="AQ22" s="81" t="s">
        <v>38</v>
      </c>
      <c r="AR22" s="48" t="s">
        <v>105</v>
      </c>
      <c r="AS22" s="48"/>
      <c r="AT22" s="48" t="s">
        <v>38</v>
      </c>
      <c r="AU22" s="2"/>
      <c r="AV22" t="str">
        <f t="shared" si="2"/>
        <v>powder medicator</v>
      </c>
    </row>
    <row r="23" spans="1:61" x14ac:dyDescent="0.25">
      <c r="A23">
        <v>12</v>
      </c>
      <c r="B23" s="8" t="s">
        <v>13</v>
      </c>
      <c r="C23" s="2"/>
      <c r="D23" s="2"/>
      <c r="E23" s="2"/>
      <c r="F23" s="2">
        <v>2009</v>
      </c>
      <c r="G23" s="2"/>
      <c r="H23" s="2"/>
      <c r="I23" s="2"/>
      <c r="J23" s="2">
        <v>2012</v>
      </c>
      <c r="K23" s="2"/>
      <c r="L23" s="2"/>
      <c r="M23" s="2"/>
      <c r="N23" s="2">
        <v>2012</v>
      </c>
      <c r="O23" s="2">
        <v>2012</v>
      </c>
      <c r="P23" s="2">
        <v>2012</v>
      </c>
      <c r="Q23" s="2"/>
      <c r="R23" s="2">
        <v>2012</v>
      </c>
      <c r="S23" s="2"/>
      <c r="T23" s="2">
        <v>2011</v>
      </c>
      <c r="U23" s="2"/>
      <c r="V23" s="2"/>
      <c r="W23" s="2">
        <v>2013</v>
      </c>
      <c r="X23" s="2"/>
      <c r="Y23" s="2"/>
      <c r="Z23" s="2"/>
      <c r="AA23" s="2"/>
      <c r="AB23" s="2"/>
      <c r="AC23" s="2"/>
      <c r="AD23" s="2">
        <v>2013</v>
      </c>
      <c r="AE23" s="2"/>
      <c r="AF23" s="2"/>
      <c r="AG23" s="2"/>
      <c r="AH23" s="2">
        <v>2013</v>
      </c>
      <c r="AI23" s="2"/>
      <c r="AJ23" s="2"/>
      <c r="AK23" s="2"/>
      <c r="AL23" s="2"/>
      <c r="AM23" s="34"/>
      <c r="AN23" s="34"/>
      <c r="AO23" s="34"/>
      <c r="AP23" s="34"/>
      <c r="AQ23" s="81"/>
      <c r="AR23" s="48">
        <v>2013</v>
      </c>
      <c r="AS23" s="48"/>
      <c r="AT23" s="48"/>
      <c r="AU23" s="2"/>
      <c r="AV23">
        <f t="shared" si="2"/>
        <v>2013</v>
      </c>
    </row>
    <row r="24" spans="1:61" x14ac:dyDescent="0.25">
      <c r="A24">
        <v>13</v>
      </c>
      <c r="B24" s="8" t="s">
        <v>14</v>
      </c>
      <c r="C24" s="2"/>
      <c r="D24" s="2"/>
      <c r="E24" s="2"/>
      <c r="F24" s="2">
        <v>750</v>
      </c>
      <c r="G24" s="2"/>
      <c r="H24" s="2"/>
      <c r="I24" s="2"/>
      <c r="J24" s="2">
        <v>2000</v>
      </c>
      <c r="K24" s="2"/>
      <c r="L24" s="2"/>
      <c r="M24" s="2"/>
      <c r="N24" s="2">
        <v>5000</v>
      </c>
      <c r="O24" s="2">
        <v>1500</v>
      </c>
      <c r="P24" s="2">
        <v>27400</v>
      </c>
      <c r="Q24" s="2"/>
      <c r="R24" s="2"/>
      <c r="S24" s="2"/>
      <c r="T24" s="2">
        <v>2000</v>
      </c>
      <c r="U24" s="2"/>
      <c r="V24" s="2"/>
      <c r="W24" s="2">
        <v>1000</v>
      </c>
      <c r="X24" s="2"/>
      <c r="Y24" s="2"/>
      <c r="Z24" s="2"/>
      <c r="AA24" s="2"/>
      <c r="AB24" s="2"/>
      <c r="AC24" s="2"/>
      <c r="AD24" s="2">
        <v>1800</v>
      </c>
      <c r="AE24" s="2"/>
      <c r="AF24" s="2"/>
      <c r="AG24" s="2"/>
      <c r="AH24" s="2">
        <v>2000</v>
      </c>
      <c r="AI24" s="2"/>
      <c r="AJ24" s="2"/>
      <c r="AK24" s="2"/>
      <c r="AL24" s="2"/>
      <c r="AM24" s="34"/>
      <c r="AN24" s="34"/>
      <c r="AO24" s="34"/>
      <c r="AP24" s="34"/>
      <c r="AQ24" s="81"/>
      <c r="AR24" s="48">
        <v>1800</v>
      </c>
      <c r="AS24" s="48"/>
      <c r="AT24" s="48"/>
      <c r="AU24" s="2"/>
      <c r="AV24">
        <f t="shared" si="2"/>
        <v>1000</v>
      </c>
    </row>
    <row r="25" spans="1:61" x14ac:dyDescent="0.25">
      <c r="A25">
        <v>14</v>
      </c>
      <c r="B25" s="10" t="s">
        <v>15</v>
      </c>
      <c r="C25" s="2">
        <v>10</v>
      </c>
      <c r="D25" s="2">
        <v>10</v>
      </c>
      <c r="E25" s="2">
        <v>12</v>
      </c>
      <c r="F25" s="2"/>
      <c r="G25" s="2">
        <v>17.5</v>
      </c>
      <c r="H25" s="2">
        <v>15</v>
      </c>
      <c r="I25" s="2">
        <v>20</v>
      </c>
      <c r="J25" s="2">
        <v>10</v>
      </c>
      <c r="K25" s="2">
        <v>10</v>
      </c>
      <c r="L25" s="2">
        <v>12.5</v>
      </c>
      <c r="M25" s="2">
        <v>10</v>
      </c>
      <c r="N25" s="2">
        <v>20</v>
      </c>
      <c r="O25" s="2"/>
      <c r="P25" s="2"/>
      <c r="Q25" s="2">
        <v>15</v>
      </c>
      <c r="R25" s="2">
        <v>10</v>
      </c>
      <c r="S25" s="2">
        <v>10</v>
      </c>
      <c r="T25" s="2">
        <v>12.5</v>
      </c>
      <c r="U25" s="2">
        <v>10</v>
      </c>
      <c r="V25" s="2"/>
      <c r="W25" s="2">
        <v>15</v>
      </c>
      <c r="X25" s="2">
        <v>20</v>
      </c>
      <c r="Y25" s="2">
        <v>20</v>
      </c>
      <c r="Z25" s="2">
        <v>10</v>
      </c>
      <c r="AA25" s="2">
        <v>9</v>
      </c>
      <c r="AB25" s="2">
        <v>20</v>
      </c>
      <c r="AC25" s="2">
        <v>15</v>
      </c>
      <c r="AD25" s="2">
        <v>15</v>
      </c>
      <c r="AE25" s="2">
        <v>10</v>
      </c>
      <c r="AF25" s="2">
        <v>17.5</v>
      </c>
      <c r="AG25" s="2">
        <v>15</v>
      </c>
      <c r="AH25" s="2">
        <v>12.5</v>
      </c>
      <c r="AI25" s="2">
        <v>10</v>
      </c>
      <c r="AJ25" s="2">
        <v>20</v>
      </c>
      <c r="AK25" s="2"/>
      <c r="AL25" s="2"/>
      <c r="AM25" s="34">
        <v>10</v>
      </c>
      <c r="AN25" s="34">
        <v>15</v>
      </c>
      <c r="AO25" s="34">
        <v>10</v>
      </c>
      <c r="AP25" s="34">
        <v>10</v>
      </c>
      <c r="AQ25" s="81">
        <v>9</v>
      </c>
      <c r="AR25" s="48">
        <v>15</v>
      </c>
      <c r="AS25" s="48">
        <v>10</v>
      </c>
      <c r="AT25" s="48">
        <v>20</v>
      </c>
      <c r="AU25" s="2"/>
      <c r="AV25">
        <f t="shared" si="2"/>
        <v>15</v>
      </c>
      <c r="AX25" s="61">
        <f>SUMIF(C25:AL25,"&gt;"&amp;0,C25:AL25)</f>
        <v>413.5</v>
      </c>
      <c r="AY25" s="61">
        <f>COUNTIF(C25:AL25,"&gt;"&amp;0)</f>
        <v>30</v>
      </c>
      <c r="AZ25" s="61">
        <f t="shared" ref="AZ25" si="4">AX25/AY25</f>
        <v>13.783333333333333</v>
      </c>
      <c r="BA25">
        <f>MIN(C25:AJ25)</f>
        <v>9</v>
      </c>
      <c r="BB25">
        <f>MAX(C25:AJ25)</f>
        <v>20</v>
      </c>
    </row>
    <row r="26" spans="1:61" ht="30" x14ac:dyDescent="0.25">
      <c r="A26">
        <v>15</v>
      </c>
      <c r="B26" s="8" t="s">
        <v>16</v>
      </c>
      <c r="C26" s="2">
        <v>20</v>
      </c>
      <c r="D26" s="2">
        <v>30</v>
      </c>
      <c r="E26" s="2">
        <v>30</v>
      </c>
      <c r="F26" s="2">
        <v>20</v>
      </c>
      <c r="G26" s="2">
        <v>35</v>
      </c>
      <c r="H26" s="2">
        <v>40</v>
      </c>
      <c r="I26" s="2">
        <v>20</v>
      </c>
      <c r="J26" s="2">
        <v>25</v>
      </c>
      <c r="K26" s="2">
        <v>20</v>
      </c>
      <c r="L26" s="2"/>
      <c r="M26" s="2">
        <v>20</v>
      </c>
      <c r="N26" s="2"/>
      <c r="O26" s="2">
        <v>50</v>
      </c>
      <c r="P26" s="2">
        <v>40</v>
      </c>
      <c r="Q26" s="2">
        <v>25</v>
      </c>
      <c r="R26" s="2">
        <v>10</v>
      </c>
      <c r="S26" s="2">
        <v>20</v>
      </c>
      <c r="T26" s="2">
        <v>50</v>
      </c>
      <c r="U26" s="2">
        <v>20</v>
      </c>
      <c r="V26" s="2"/>
      <c r="W26" s="2"/>
      <c r="X26" s="2"/>
      <c r="Y26" s="2">
        <v>20</v>
      </c>
      <c r="Z26" s="2">
        <v>25</v>
      </c>
      <c r="AA26" s="2">
        <v>20</v>
      </c>
      <c r="AB26" s="2">
        <v>25</v>
      </c>
      <c r="AC26" s="2">
        <v>25</v>
      </c>
      <c r="AD26" s="2">
        <v>30</v>
      </c>
      <c r="AE26" s="2"/>
      <c r="AF26" s="2">
        <v>50</v>
      </c>
      <c r="AG26" s="2">
        <v>40</v>
      </c>
      <c r="AH26" s="2">
        <v>25</v>
      </c>
      <c r="AI26" s="2">
        <v>10</v>
      </c>
      <c r="AJ26" s="2">
        <v>40</v>
      </c>
      <c r="AK26" s="2"/>
      <c r="AL26" s="2"/>
      <c r="AM26" s="34">
        <v>20</v>
      </c>
      <c r="AN26" s="34">
        <v>40</v>
      </c>
      <c r="AO26" s="34">
        <v>20</v>
      </c>
      <c r="AP26" s="34">
        <v>20</v>
      </c>
      <c r="AQ26" s="81">
        <v>20</v>
      </c>
      <c r="AR26" s="48">
        <v>30</v>
      </c>
      <c r="AS26" s="48">
        <v>10</v>
      </c>
      <c r="AT26" s="48">
        <v>40</v>
      </c>
      <c r="AU26" s="2"/>
      <c r="AV26">
        <f t="shared" si="2"/>
        <v>0</v>
      </c>
      <c r="AX26" s="61">
        <f>SUMIF(C26:AL26,"&gt;"&amp;0,C26:AL26)</f>
        <v>785</v>
      </c>
      <c r="AY26" s="61">
        <f>COUNTIF(C26:AL26,"&gt;"&amp;0)</f>
        <v>28</v>
      </c>
      <c r="AZ26" s="61">
        <f t="shared" ref="AZ26:AZ27" si="5">AX26/AY26</f>
        <v>28.035714285714285</v>
      </c>
    </row>
    <row r="27" spans="1:61" ht="30" x14ac:dyDescent="0.25">
      <c r="A27">
        <v>16</v>
      </c>
      <c r="B27" s="8" t="s">
        <v>17</v>
      </c>
      <c r="C27" s="2"/>
      <c r="D27" s="2"/>
      <c r="E27" s="2"/>
      <c r="F27" s="2"/>
      <c r="G27" s="2"/>
      <c r="H27" s="2"/>
      <c r="I27" s="2"/>
      <c r="J27" s="2"/>
      <c r="K27" s="2"/>
      <c r="L27" s="2"/>
      <c r="M27" s="2"/>
      <c r="N27" s="2"/>
      <c r="O27" s="2">
        <v>50</v>
      </c>
      <c r="P27" s="2"/>
      <c r="Q27" s="2"/>
      <c r="R27" s="2"/>
      <c r="S27" s="2"/>
      <c r="T27" s="2"/>
      <c r="U27" s="2"/>
      <c r="V27" s="2"/>
      <c r="W27" s="2"/>
      <c r="X27" s="2"/>
      <c r="Y27" s="2"/>
      <c r="Z27" s="2"/>
      <c r="AA27" s="2"/>
      <c r="AB27" s="2"/>
      <c r="AC27" s="2"/>
      <c r="AD27" s="2">
        <v>15</v>
      </c>
      <c r="AE27" s="2"/>
      <c r="AF27" s="2"/>
      <c r="AG27" s="2"/>
      <c r="AH27" s="2">
        <v>12.5</v>
      </c>
      <c r="AI27" s="2"/>
      <c r="AJ27" s="2"/>
      <c r="AK27" s="2"/>
      <c r="AL27" s="2"/>
      <c r="AM27" s="34"/>
      <c r="AN27" s="34"/>
      <c r="AO27" s="34"/>
      <c r="AP27" s="34"/>
      <c r="AQ27" s="81"/>
      <c r="AR27" s="48">
        <v>15</v>
      </c>
      <c r="AS27" s="48"/>
      <c r="AT27" s="48"/>
      <c r="AU27" s="2"/>
      <c r="AV27">
        <f t="shared" si="2"/>
        <v>0</v>
      </c>
      <c r="AX27" s="61">
        <f>SUMIF(C27:AL27,"&gt;"&amp;0,C27:AL27)</f>
        <v>77.5</v>
      </c>
      <c r="AY27" s="61">
        <f>COUNTIF(C27:AL27,"&gt;"&amp;0)</f>
        <v>3</v>
      </c>
      <c r="AZ27" s="61">
        <f t="shared" si="5"/>
        <v>25.833333333333332</v>
      </c>
    </row>
    <row r="28" spans="1:61" x14ac:dyDescent="0.25">
      <c r="B28" s="11" t="s">
        <v>18</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34"/>
      <c r="AN28" s="34"/>
      <c r="AO28" s="34"/>
      <c r="AP28" s="34"/>
      <c r="AQ28" s="81"/>
      <c r="AR28" s="48"/>
      <c r="AS28" s="48"/>
      <c r="AT28" s="48"/>
      <c r="AU28" s="2"/>
      <c r="AV28">
        <f t="shared" si="2"/>
        <v>0</v>
      </c>
    </row>
    <row r="29" spans="1:61" ht="45" x14ac:dyDescent="0.25">
      <c r="A29">
        <v>17</v>
      </c>
      <c r="B29" s="1" t="s">
        <v>19</v>
      </c>
      <c r="C29" s="2">
        <v>250</v>
      </c>
      <c r="D29" s="2">
        <v>500</v>
      </c>
      <c r="E29" s="2">
        <v>250</v>
      </c>
      <c r="F29" s="2">
        <v>500</v>
      </c>
      <c r="G29" s="2">
        <v>150</v>
      </c>
      <c r="H29" s="2">
        <v>1000</v>
      </c>
      <c r="I29" s="2">
        <v>500</v>
      </c>
      <c r="J29" s="2">
        <v>350</v>
      </c>
      <c r="K29" s="2">
        <v>250</v>
      </c>
      <c r="L29" s="2">
        <v>100</v>
      </c>
      <c r="M29" s="2"/>
      <c r="N29" s="2">
        <v>500</v>
      </c>
      <c r="O29" s="2">
        <v>0</v>
      </c>
      <c r="P29" s="2">
        <v>500</v>
      </c>
      <c r="Q29" s="2">
        <v>200</v>
      </c>
      <c r="R29" s="2">
        <v>9470</v>
      </c>
      <c r="S29" s="2">
        <v>450</v>
      </c>
      <c r="T29" s="2">
        <v>200</v>
      </c>
      <c r="U29" s="2">
        <v>130</v>
      </c>
      <c r="V29" s="2"/>
      <c r="W29" s="2"/>
      <c r="X29" s="2">
        <v>30000</v>
      </c>
      <c r="Y29" s="2">
        <v>1600</v>
      </c>
      <c r="Z29" s="2">
        <v>250</v>
      </c>
      <c r="AA29" s="2">
        <v>2000</v>
      </c>
      <c r="AB29" s="2">
        <v>727</v>
      </c>
      <c r="AC29" s="2">
        <f>25*12</f>
        <v>300</v>
      </c>
      <c r="AD29" s="2">
        <v>500</v>
      </c>
      <c r="AE29" s="2"/>
      <c r="AF29" s="2">
        <v>225</v>
      </c>
      <c r="AG29" s="2"/>
      <c r="AH29" s="2">
        <v>1500</v>
      </c>
      <c r="AI29" s="2">
        <v>2500</v>
      </c>
      <c r="AJ29" s="2"/>
      <c r="AK29" s="2">
        <v>500</v>
      </c>
      <c r="AL29" s="2"/>
      <c r="AM29" s="34">
        <v>250</v>
      </c>
      <c r="AN29" s="34">
        <v>1000</v>
      </c>
      <c r="AO29" s="34">
        <v>250</v>
      </c>
      <c r="AP29" s="34"/>
      <c r="AQ29" s="81">
        <v>2000</v>
      </c>
      <c r="AR29" s="48">
        <v>500</v>
      </c>
      <c r="AS29" s="48">
        <v>2500</v>
      </c>
      <c r="AT29" s="48"/>
      <c r="AU29" s="2"/>
      <c r="AV29">
        <f t="shared" si="2"/>
        <v>0</v>
      </c>
      <c r="AX29" s="61">
        <f t="shared" ref="AX29:AX34" si="6">SUMIF(C29:AL29,"&gt;"&amp;0,C29:AL29)</f>
        <v>55402</v>
      </c>
      <c r="AY29" s="61">
        <f t="shared" ref="AY29:AY34" si="7">COUNTIF(C29:AL29,"&gt;"&amp;0)</f>
        <v>28</v>
      </c>
      <c r="AZ29" s="108">
        <f t="shared" ref="AZ29:AZ48" si="8">AX29/AY29</f>
        <v>1978.6428571428571</v>
      </c>
      <c r="BA29" s="24"/>
      <c r="BB29" s="24">
        <f>MINif(D29:AT29)</f>
        <v>100</v>
      </c>
      <c r="BC29" s="24">
        <f t="shared" ref="BC29:BC30" si="9">MAX(D29:AK29)</f>
        <v>30000</v>
      </c>
    </row>
    <row r="30" spans="1:61" ht="30" x14ac:dyDescent="0.25">
      <c r="A30">
        <v>18</v>
      </c>
      <c r="B30" s="6" t="s">
        <v>20</v>
      </c>
      <c r="C30" s="2">
        <v>4000</v>
      </c>
      <c r="D30" s="2">
        <v>100</v>
      </c>
      <c r="E30" s="2">
        <v>0</v>
      </c>
      <c r="F30" s="2">
        <v>200</v>
      </c>
      <c r="G30" s="2">
        <v>100</v>
      </c>
      <c r="H30" s="2">
        <v>100</v>
      </c>
      <c r="I30" s="2">
        <v>0</v>
      </c>
      <c r="J30" s="2">
        <v>0</v>
      </c>
      <c r="K30" s="2">
        <v>100</v>
      </c>
      <c r="L30" s="2">
        <v>0</v>
      </c>
      <c r="M30" s="2"/>
      <c r="N30" s="2"/>
      <c r="O30" s="2">
        <v>0</v>
      </c>
      <c r="P30" s="2">
        <v>200</v>
      </c>
      <c r="Q30" s="2">
        <v>200</v>
      </c>
      <c r="R30" s="2"/>
      <c r="S30" s="2">
        <v>0</v>
      </c>
      <c r="T30" s="2">
        <v>500</v>
      </c>
      <c r="U30" s="2"/>
      <c r="V30" s="2"/>
      <c r="W30" s="2"/>
      <c r="X30" s="2"/>
      <c r="Y30" s="2"/>
      <c r="Z30" s="2">
        <v>500</v>
      </c>
      <c r="AA30" s="2">
        <v>500</v>
      </c>
      <c r="AB30" s="2"/>
      <c r="AC30" s="2"/>
      <c r="AD30" s="2">
        <v>100</v>
      </c>
      <c r="AE30" s="2"/>
      <c r="AF30" s="2">
        <v>0</v>
      </c>
      <c r="AG30" s="2">
        <v>0</v>
      </c>
      <c r="AH30" s="2">
        <v>1000</v>
      </c>
      <c r="AI30" s="2">
        <v>1500</v>
      </c>
      <c r="AJ30" s="2">
        <v>300</v>
      </c>
      <c r="AK30" s="2">
        <v>0</v>
      </c>
      <c r="AL30" s="2"/>
      <c r="AM30" s="34">
        <v>4000</v>
      </c>
      <c r="AN30" s="34">
        <v>100</v>
      </c>
      <c r="AO30" s="34">
        <v>100</v>
      </c>
      <c r="AP30" s="34"/>
      <c r="AQ30" s="81">
        <v>500</v>
      </c>
      <c r="AR30" s="48">
        <v>100</v>
      </c>
      <c r="AS30" s="48">
        <v>1500</v>
      </c>
      <c r="AT30" s="48">
        <v>300</v>
      </c>
      <c r="AU30" s="2"/>
      <c r="AV30">
        <f t="shared" si="2"/>
        <v>0</v>
      </c>
      <c r="AX30" s="61">
        <f t="shared" si="6"/>
        <v>9400</v>
      </c>
      <c r="AY30" s="61">
        <f t="shared" si="7"/>
        <v>15</v>
      </c>
      <c r="AZ30" s="108">
        <f t="shared" si="8"/>
        <v>626.66666666666663</v>
      </c>
      <c r="BA30" s="24"/>
      <c r="BB30" s="24">
        <f>MINif(D30:AT30)</f>
        <v>100</v>
      </c>
      <c r="BC30" s="24">
        <f t="shared" si="9"/>
        <v>1500</v>
      </c>
    </row>
    <row r="31" spans="1:61" ht="30" x14ac:dyDescent="0.25">
      <c r="A31">
        <v>19</v>
      </c>
      <c r="B31" s="1" t="s">
        <v>90</v>
      </c>
      <c r="C31" s="2">
        <v>2.5</v>
      </c>
      <c r="D31" s="2">
        <v>0.5</v>
      </c>
      <c r="E31" s="2">
        <v>0.75</v>
      </c>
      <c r="F31" s="2">
        <v>0.5</v>
      </c>
      <c r="G31" s="2">
        <f>22.5/60</f>
        <v>0.375</v>
      </c>
      <c r="H31" s="2">
        <v>1</v>
      </c>
      <c r="I31" s="2">
        <f>2+2/7</f>
        <v>2.2857142857142856</v>
      </c>
      <c r="J31" s="2">
        <v>1</v>
      </c>
      <c r="K31" s="2"/>
      <c r="L31" s="2">
        <v>0.5</v>
      </c>
      <c r="M31" s="2">
        <v>2</v>
      </c>
      <c r="N31" s="2">
        <v>1</v>
      </c>
      <c r="O31" s="2">
        <f>(3.5*3+2*2)/7+1.5</f>
        <v>3.5714285714285716</v>
      </c>
      <c r="P31" s="2">
        <v>1.5</v>
      </c>
      <c r="Q31" s="2">
        <v>0.5</v>
      </c>
      <c r="R31" s="2">
        <f>200/60</f>
        <v>3.3333333333333335</v>
      </c>
      <c r="S31" s="2">
        <f>10/60</f>
        <v>0.16666666666666666</v>
      </c>
      <c r="T31" s="2">
        <v>1.25</v>
      </c>
      <c r="U31" s="2">
        <f>35/60</f>
        <v>0.58333333333333337</v>
      </c>
      <c r="V31" s="2">
        <v>10</v>
      </c>
      <c r="W31" s="2"/>
      <c r="X31" s="2">
        <v>4</v>
      </c>
      <c r="Y31" s="2"/>
      <c r="Z31" s="2">
        <v>3</v>
      </c>
      <c r="AA31" s="2">
        <f>240*2/60</f>
        <v>8</v>
      </c>
      <c r="AB31" s="2">
        <f>(8*5+6*2)/7</f>
        <v>7.4285714285714288</v>
      </c>
      <c r="AC31" s="2">
        <v>0.75</v>
      </c>
      <c r="AD31" s="2">
        <f>10/60</f>
        <v>0.16666666666666666</v>
      </c>
      <c r="AE31" s="2">
        <v>1</v>
      </c>
      <c r="AF31" s="2">
        <f>1/3</f>
        <v>0.33333333333333331</v>
      </c>
      <c r="AG31" s="2">
        <v>1</v>
      </c>
      <c r="AH31" s="2">
        <v>0.75</v>
      </c>
      <c r="AI31" s="2">
        <v>2.5</v>
      </c>
      <c r="AJ31" s="78">
        <f>34/60</f>
        <v>0.56666666666666665</v>
      </c>
      <c r="AK31" s="2">
        <v>2</v>
      </c>
      <c r="AL31" s="2"/>
      <c r="AM31" s="34">
        <f>C31*4</f>
        <v>10</v>
      </c>
      <c r="AN31" s="34">
        <v>1</v>
      </c>
      <c r="AO31" s="34"/>
      <c r="AP31" s="34">
        <v>2</v>
      </c>
      <c r="AQ31" s="81">
        <f>240*2/60</f>
        <v>8</v>
      </c>
      <c r="AR31" s="48">
        <v>0.16666666666666666</v>
      </c>
      <c r="AS31" s="48">
        <v>2.5</v>
      </c>
      <c r="AT31" s="48">
        <f>34/60</f>
        <v>0.56666666666666665</v>
      </c>
      <c r="AU31" s="2"/>
      <c r="AV31">
        <f t="shared" si="2"/>
        <v>0</v>
      </c>
      <c r="AX31" s="61">
        <f t="shared" si="6"/>
        <v>64.810714285714283</v>
      </c>
      <c r="AY31" s="61">
        <f t="shared" si="7"/>
        <v>32</v>
      </c>
      <c r="AZ31" s="61">
        <f t="shared" si="8"/>
        <v>2.0253348214285714</v>
      </c>
      <c r="BB31">
        <f>MIN(D31:AK31)</f>
        <v>0.16666666666666666</v>
      </c>
      <c r="BC31">
        <f>MAX(D31:AK31)</f>
        <v>10</v>
      </c>
    </row>
    <row r="32" spans="1:61" ht="45" x14ac:dyDescent="0.25">
      <c r="A32">
        <v>20</v>
      </c>
      <c r="B32" s="1" t="s">
        <v>21</v>
      </c>
      <c r="C32" s="2">
        <v>5.5</v>
      </c>
      <c r="D32" s="2">
        <v>0</v>
      </c>
      <c r="E32" s="2">
        <v>2</v>
      </c>
      <c r="F32" s="2">
        <v>2</v>
      </c>
      <c r="G32" s="2">
        <v>3</v>
      </c>
      <c r="H32" s="2">
        <v>2</v>
      </c>
      <c r="I32" s="2">
        <v>0</v>
      </c>
      <c r="J32" s="2">
        <v>0</v>
      </c>
      <c r="K32" s="2">
        <v>2</v>
      </c>
      <c r="L32" s="2">
        <v>1</v>
      </c>
      <c r="M32" s="2">
        <v>12</v>
      </c>
      <c r="N32" s="2">
        <v>2</v>
      </c>
      <c r="O32" s="2">
        <v>12.5</v>
      </c>
      <c r="P32" s="2">
        <v>180</v>
      </c>
      <c r="Q32" s="2">
        <v>5</v>
      </c>
      <c r="R32" s="2">
        <v>15</v>
      </c>
      <c r="S32" s="2">
        <v>8</v>
      </c>
      <c r="T32" s="2">
        <v>6</v>
      </c>
      <c r="U32" s="2">
        <v>2</v>
      </c>
      <c r="V32" s="2"/>
      <c r="W32" s="2">
        <v>3</v>
      </c>
      <c r="X32" s="2">
        <v>25</v>
      </c>
      <c r="Y32" s="2">
        <v>10</v>
      </c>
      <c r="Z32" s="2">
        <v>50</v>
      </c>
      <c r="AA32" s="2">
        <v>12</v>
      </c>
      <c r="AB32" s="2">
        <v>0</v>
      </c>
      <c r="AC32" s="2">
        <v>0</v>
      </c>
      <c r="AD32" s="2">
        <v>4</v>
      </c>
      <c r="AE32" s="2">
        <v>0</v>
      </c>
      <c r="AF32" s="2">
        <v>0</v>
      </c>
      <c r="AG32" s="2"/>
      <c r="AH32" s="2">
        <v>7.5</v>
      </c>
      <c r="AI32" s="2">
        <v>25</v>
      </c>
      <c r="AJ32" s="2">
        <v>300</v>
      </c>
      <c r="AK32" s="2"/>
      <c r="AL32" s="2"/>
      <c r="AM32" s="34">
        <f>C32*4</f>
        <v>22</v>
      </c>
      <c r="AN32" s="34">
        <v>2</v>
      </c>
      <c r="AO32" s="34">
        <v>2</v>
      </c>
      <c r="AP32" s="34">
        <v>12</v>
      </c>
      <c r="AQ32" s="81">
        <v>12</v>
      </c>
      <c r="AR32" s="48">
        <v>4</v>
      </c>
      <c r="AS32" s="48">
        <v>25</v>
      </c>
      <c r="AT32" s="48">
        <v>300</v>
      </c>
      <c r="AU32" s="2"/>
      <c r="AV32">
        <f t="shared" si="2"/>
        <v>3</v>
      </c>
      <c r="AX32" s="61">
        <f t="shared" si="6"/>
        <v>696.5</v>
      </c>
      <c r="AY32" s="61">
        <f t="shared" si="7"/>
        <v>25</v>
      </c>
      <c r="AZ32" s="61">
        <f t="shared" si="8"/>
        <v>27.86</v>
      </c>
      <c r="BA32">
        <f>AZ32/365</f>
        <v>7.6328767123287664E-2</v>
      </c>
      <c r="BB32" s="107">
        <f>MINif(D32:AT32)</f>
        <v>1</v>
      </c>
      <c r="BC32">
        <f t="shared" ref="BC32:BC34" si="10">MAX(D32:AK32)</f>
        <v>300</v>
      </c>
    </row>
    <row r="33" spans="1:55" ht="45" x14ac:dyDescent="0.25">
      <c r="A33">
        <v>21</v>
      </c>
      <c r="B33" s="5" t="s">
        <v>22</v>
      </c>
      <c r="C33" s="2" t="s">
        <v>36</v>
      </c>
      <c r="D33" s="2" t="s">
        <v>36</v>
      </c>
      <c r="E33" s="2" t="s">
        <v>36</v>
      </c>
      <c r="F33" s="2"/>
      <c r="G33" s="2" t="s">
        <v>36</v>
      </c>
      <c r="H33" s="2" t="s">
        <v>36</v>
      </c>
      <c r="I33" s="2" t="s">
        <v>36</v>
      </c>
      <c r="J33" s="2" t="s">
        <v>36</v>
      </c>
      <c r="K33" s="2">
        <v>240</v>
      </c>
      <c r="L33" s="2" t="s">
        <v>36</v>
      </c>
      <c r="M33" s="2" t="s">
        <v>36</v>
      </c>
      <c r="N33" s="2">
        <v>1</v>
      </c>
      <c r="O33" s="2" t="s">
        <v>36</v>
      </c>
      <c r="P33" s="2" t="s">
        <v>36</v>
      </c>
      <c r="Q33" s="2" t="s">
        <v>36</v>
      </c>
      <c r="R33" s="2" t="s">
        <v>36</v>
      </c>
      <c r="S33" s="2" t="s">
        <v>38</v>
      </c>
      <c r="T33" s="2" t="s">
        <v>36</v>
      </c>
      <c r="U33" s="2" t="s">
        <v>36</v>
      </c>
      <c r="V33" s="2"/>
      <c r="W33" s="2"/>
      <c r="X33" s="2" t="s">
        <v>36</v>
      </c>
      <c r="Y33" s="2"/>
      <c r="Z33" s="2"/>
      <c r="AA33" s="2"/>
      <c r="AB33" s="2" t="s">
        <v>36</v>
      </c>
      <c r="AC33" s="2" t="s">
        <v>36</v>
      </c>
      <c r="AD33" s="2" t="s">
        <v>36</v>
      </c>
      <c r="AE33" s="2" t="s">
        <v>36</v>
      </c>
      <c r="AF33" s="2"/>
      <c r="AG33" s="2"/>
      <c r="AH33" s="2"/>
      <c r="AI33" s="2"/>
      <c r="AJ33" s="2" t="s">
        <v>36</v>
      </c>
      <c r="AK33" s="2"/>
      <c r="AL33" s="2"/>
      <c r="AM33" s="34" t="s">
        <v>36</v>
      </c>
      <c r="AN33" s="48" t="s">
        <v>36</v>
      </c>
      <c r="AO33" s="34">
        <v>240</v>
      </c>
      <c r="AP33" s="34" t="s">
        <v>36</v>
      </c>
      <c r="AQ33" s="81"/>
      <c r="AR33" s="48" t="s">
        <v>36</v>
      </c>
      <c r="AS33" s="48"/>
      <c r="AT33" s="48" t="s">
        <v>36</v>
      </c>
      <c r="AU33" s="2"/>
      <c r="AV33">
        <f t="shared" si="2"/>
        <v>0</v>
      </c>
      <c r="AX33" s="61">
        <f t="shared" si="6"/>
        <v>241</v>
      </c>
      <c r="AY33" s="61">
        <f t="shared" si="7"/>
        <v>2</v>
      </c>
      <c r="AZ33" s="61">
        <f t="shared" si="8"/>
        <v>120.5</v>
      </c>
      <c r="BB33" s="106">
        <f t="shared" ref="BB33:BB34" si="11">MINif(D33:AT33)</f>
        <v>1</v>
      </c>
      <c r="BC33">
        <f t="shared" si="10"/>
        <v>240</v>
      </c>
    </row>
    <row r="34" spans="1:55" ht="45" x14ac:dyDescent="0.25">
      <c r="A34">
        <v>22</v>
      </c>
      <c r="B34" s="1" t="s">
        <v>23</v>
      </c>
      <c r="C34" s="53">
        <v>25</v>
      </c>
      <c r="D34" s="53">
        <v>25</v>
      </c>
      <c r="E34" s="53">
        <v>22.5</v>
      </c>
      <c r="F34" s="53">
        <f>100/8</f>
        <v>12.5</v>
      </c>
      <c r="G34" s="53">
        <v>13</v>
      </c>
      <c r="H34" s="53">
        <v>8.5</v>
      </c>
      <c r="I34" s="53">
        <v>15</v>
      </c>
      <c r="J34" s="53"/>
      <c r="K34" s="53">
        <v>15</v>
      </c>
      <c r="L34" s="53"/>
      <c r="M34" s="53"/>
      <c r="N34" s="53"/>
      <c r="O34" s="53">
        <v>14</v>
      </c>
      <c r="P34" s="53">
        <v>14</v>
      </c>
      <c r="Q34" s="53">
        <v>10</v>
      </c>
      <c r="R34" s="53">
        <v>10</v>
      </c>
      <c r="S34" s="53">
        <v>15</v>
      </c>
      <c r="T34" s="53">
        <v>18</v>
      </c>
      <c r="U34" s="53">
        <v>17.5</v>
      </c>
      <c r="V34" s="53"/>
      <c r="W34" s="53">
        <v>11</v>
      </c>
      <c r="X34" s="53">
        <v>20</v>
      </c>
      <c r="Y34" s="53"/>
      <c r="Z34" s="53">
        <v>25</v>
      </c>
      <c r="AA34" s="53">
        <v>12</v>
      </c>
      <c r="AB34" s="53">
        <v>15.8</v>
      </c>
      <c r="AC34" s="53">
        <v>25</v>
      </c>
      <c r="AD34" s="53">
        <v>15</v>
      </c>
      <c r="AE34" s="53">
        <v>15</v>
      </c>
      <c r="AF34" s="53">
        <v>15</v>
      </c>
      <c r="AG34" s="53"/>
      <c r="AH34" s="53"/>
      <c r="AI34" s="53">
        <v>25</v>
      </c>
      <c r="AJ34" s="53">
        <v>13</v>
      </c>
      <c r="AK34" s="53">
        <v>12</v>
      </c>
      <c r="AL34" s="53"/>
      <c r="AM34" s="54">
        <v>25</v>
      </c>
      <c r="AN34" s="54">
        <v>8.5</v>
      </c>
      <c r="AO34" s="54">
        <v>15</v>
      </c>
      <c r="AP34" s="54"/>
      <c r="AQ34" s="82">
        <v>12</v>
      </c>
      <c r="AR34" s="55">
        <v>15</v>
      </c>
      <c r="AS34" s="55">
        <v>25</v>
      </c>
      <c r="AT34" s="55">
        <v>13</v>
      </c>
      <c r="AU34" s="53"/>
      <c r="AV34" s="23">
        <f t="shared" si="2"/>
        <v>11</v>
      </c>
      <c r="AX34" s="61">
        <f t="shared" si="6"/>
        <v>438.8</v>
      </c>
      <c r="AY34" s="61">
        <f t="shared" si="7"/>
        <v>27</v>
      </c>
      <c r="AZ34" s="61">
        <f t="shared" si="8"/>
        <v>16.251851851851853</v>
      </c>
      <c r="BB34" s="106">
        <f t="shared" si="11"/>
        <v>8.5</v>
      </c>
      <c r="BC34">
        <f t="shared" si="10"/>
        <v>25</v>
      </c>
    </row>
    <row r="35" spans="1:55" x14ac:dyDescent="0.25">
      <c r="B35" s="3" t="s">
        <v>24</v>
      </c>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35"/>
      <c r="AN35" s="35"/>
      <c r="AO35" s="35"/>
      <c r="AP35" s="35"/>
      <c r="AQ35" s="38"/>
      <c r="AR35" s="49"/>
      <c r="AS35" s="49"/>
      <c r="AT35" s="49"/>
      <c r="AU35" s="7"/>
      <c r="AX35" s="61"/>
      <c r="AY35" s="61"/>
      <c r="AZ35" s="61"/>
    </row>
    <row r="36" spans="1:55" x14ac:dyDescent="0.25">
      <c r="A36">
        <v>34</v>
      </c>
      <c r="B36" s="1" t="s">
        <v>25</v>
      </c>
      <c r="C36" s="31">
        <v>0.02</v>
      </c>
      <c r="D36" s="31">
        <v>0</v>
      </c>
      <c r="E36" s="31">
        <f>7/(134*3.5)</f>
        <v>1.4925373134328358E-2</v>
      </c>
      <c r="F36" s="31">
        <v>0.01</v>
      </c>
      <c r="G36" s="31">
        <v>0.03</v>
      </c>
      <c r="H36" s="31">
        <v>0.01</v>
      </c>
      <c r="I36" s="31">
        <v>0.03</v>
      </c>
      <c r="J36" s="31">
        <v>0.05</v>
      </c>
      <c r="K36" s="31">
        <v>0.05</v>
      </c>
      <c r="L36" s="31">
        <v>0.05</v>
      </c>
      <c r="M36" s="31">
        <v>0.02</v>
      </c>
      <c r="N36" s="31">
        <v>0.01</v>
      </c>
      <c r="O36" s="31">
        <v>5.8700000000000002E-2</v>
      </c>
      <c r="P36" s="31">
        <v>0.03</v>
      </c>
      <c r="Q36" s="31">
        <v>0.01</v>
      </c>
      <c r="R36" s="31">
        <v>3.2000000000000001E-2</v>
      </c>
      <c r="S36" s="31">
        <v>0.01</v>
      </c>
      <c r="T36" s="31"/>
      <c r="U36" s="31">
        <v>0.06</v>
      </c>
      <c r="V36" s="31">
        <v>7.0000000000000007E-2</v>
      </c>
      <c r="W36" s="31">
        <v>0.01</v>
      </c>
      <c r="X36" s="31">
        <v>0.05</v>
      </c>
      <c r="Y36" s="31">
        <v>0.05</v>
      </c>
      <c r="Z36" s="31">
        <v>0.02</v>
      </c>
      <c r="AA36" s="31">
        <v>0.02</v>
      </c>
      <c r="AB36" s="31"/>
      <c r="AC36" s="31">
        <v>0.04</v>
      </c>
      <c r="AD36" s="31">
        <v>5.0000000000000001E-3</v>
      </c>
      <c r="AE36" s="31">
        <v>0.02</v>
      </c>
      <c r="AF36" s="31">
        <v>7.0000000000000007E-2</v>
      </c>
      <c r="AG36" s="31">
        <v>0.02</v>
      </c>
      <c r="AH36" s="31">
        <v>0.03</v>
      </c>
      <c r="AI36" s="31">
        <v>0.02</v>
      </c>
      <c r="AJ36" s="31">
        <v>0.02</v>
      </c>
      <c r="AK36" s="31">
        <v>0.01</v>
      </c>
      <c r="AL36" s="31"/>
      <c r="AM36" s="36">
        <v>0.02</v>
      </c>
      <c r="AN36" s="36">
        <v>0.01</v>
      </c>
      <c r="AO36" s="36">
        <v>0.05</v>
      </c>
      <c r="AP36" s="36">
        <v>0.02</v>
      </c>
      <c r="AQ36" s="83">
        <v>0.02</v>
      </c>
      <c r="AR36" s="50">
        <v>5.0000000000000001E-3</v>
      </c>
      <c r="AS36" s="50">
        <v>0.02</v>
      </c>
      <c r="AT36" s="50">
        <v>0.02</v>
      </c>
      <c r="AU36" s="31"/>
      <c r="AV36" s="27">
        <f>INDEX(C36:AU36,0,$AV$4)</f>
        <v>0.01</v>
      </c>
      <c r="AX36" s="61">
        <f>SUMIF(C36:AL36,"&gt;"&amp;0,C36:AL36)</f>
        <v>0.95062537313432882</v>
      </c>
      <c r="AY36" s="61">
        <f>COUNTIF(C36:AL36,"&gt;"&amp;0)</f>
        <v>32</v>
      </c>
      <c r="AZ36" s="21">
        <f t="shared" si="8"/>
        <v>2.9707042910447776E-2</v>
      </c>
      <c r="BB36" s="21">
        <f t="shared" ref="BB36:BB38" si="12">MINif(D36:AT36)</f>
        <v>5.0000000000000001E-3</v>
      </c>
      <c r="BC36" s="21">
        <f t="shared" ref="BC36:BC38" si="13">MAX(D36:AK36)</f>
        <v>7.0000000000000007E-2</v>
      </c>
    </row>
    <row r="37" spans="1:55" x14ac:dyDescent="0.25">
      <c r="A37">
        <v>35</v>
      </c>
      <c r="B37" s="1" t="s">
        <v>26</v>
      </c>
      <c r="C37" s="7">
        <v>200</v>
      </c>
      <c r="D37" s="7"/>
      <c r="E37" s="7">
        <v>250</v>
      </c>
      <c r="F37" s="7">
        <v>275</v>
      </c>
      <c r="G37" s="7">
        <v>150</v>
      </c>
      <c r="H37" s="7">
        <v>150</v>
      </c>
      <c r="I37" s="7">
        <v>250</v>
      </c>
      <c r="J37" s="7">
        <v>100</v>
      </c>
      <c r="K37" s="7">
        <v>120</v>
      </c>
      <c r="L37" s="7">
        <v>150</v>
      </c>
      <c r="M37" s="7">
        <v>200</v>
      </c>
      <c r="N37" s="7">
        <v>150</v>
      </c>
      <c r="O37" s="7">
        <v>200</v>
      </c>
      <c r="P37" s="7">
        <v>80</v>
      </c>
      <c r="Q37" s="7">
        <v>100</v>
      </c>
      <c r="R37" s="7">
        <v>150</v>
      </c>
      <c r="S37" s="7">
        <v>300</v>
      </c>
      <c r="T37" s="7"/>
      <c r="U37" s="7">
        <v>150</v>
      </c>
      <c r="V37" s="7"/>
      <c r="W37" s="7">
        <v>300</v>
      </c>
      <c r="X37" s="7">
        <v>300</v>
      </c>
      <c r="Y37" s="7"/>
      <c r="Z37" s="7">
        <v>115</v>
      </c>
      <c r="AA37" s="7">
        <v>100</v>
      </c>
      <c r="AB37" s="7">
        <v>100</v>
      </c>
      <c r="AC37" s="7">
        <v>150</v>
      </c>
      <c r="AD37" s="7">
        <v>300</v>
      </c>
      <c r="AE37" s="7">
        <v>100</v>
      </c>
      <c r="AF37" s="7">
        <v>100</v>
      </c>
      <c r="AG37" s="7">
        <v>100</v>
      </c>
      <c r="AH37" s="7">
        <v>150</v>
      </c>
      <c r="AI37" s="7">
        <v>200</v>
      </c>
      <c r="AJ37" s="7">
        <v>200</v>
      </c>
      <c r="AK37" s="7"/>
      <c r="AL37" s="7"/>
      <c r="AM37" s="35">
        <v>200</v>
      </c>
      <c r="AN37" s="35">
        <v>150</v>
      </c>
      <c r="AO37" s="35">
        <v>120</v>
      </c>
      <c r="AP37" s="35">
        <v>200</v>
      </c>
      <c r="AQ37" s="38">
        <v>100</v>
      </c>
      <c r="AR37" s="49">
        <v>300</v>
      </c>
      <c r="AS37" s="49">
        <v>200</v>
      </c>
      <c r="AT37" s="49">
        <v>200</v>
      </c>
      <c r="AU37" s="7"/>
      <c r="AV37">
        <f>INDEX(C37:AU37,0,$AV$4)</f>
        <v>300</v>
      </c>
      <c r="AX37" s="61">
        <f>SUMIF(C37:AL37,"&gt;"&amp;0,C37:AL37)</f>
        <v>5190</v>
      </c>
      <c r="AY37" s="61">
        <f>COUNTIF(C37:AL37,"&gt;"&amp;0)</f>
        <v>30</v>
      </c>
      <c r="AZ37" s="61">
        <f t="shared" si="8"/>
        <v>173</v>
      </c>
      <c r="BB37" s="106">
        <f t="shared" si="12"/>
        <v>80</v>
      </c>
      <c r="BC37">
        <f t="shared" si="13"/>
        <v>300</v>
      </c>
    </row>
    <row r="38" spans="1:55" x14ac:dyDescent="0.25">
      <c r="A38">
        <v>36</v>
      </c>
      <c r="B38" s="1" t="s">
        <v>27</v>
      </c>
      <c r="C38" s="7">
        <v>400</v>
      </c>
      <c r="D38" s="7"/>
      <c r="E38" s="7">
        <v>500</v>
      </c>
      <c r="F38" s="7">
        <v>500</v>
      </c>
      <c r="G38" s="7">
        <v>400</v>
      </c>
      <c r="H38" s="7">
        <v>300</v>
      </c>
      <c r="I38" s="7">
        <v>350</v>
      </c>
      <c r="J38" s="7">
        <v>300</v>
      </c>
      <c r="K38" s="7">
        <v>300</v>
      </c>
      <c r="L38" s="7">
        <v>400</v>
      </c>
      <c r="M38" s="7">
        <v>400</v>
      </c>
      <c r="N38" s="7">
        <v>300</v>
      </c>
      <c r="O38" s="7">
        <v>350</v>
      </c>
      <c r="P38" s="7">
        <v>350</v>
      </c>
      <c r="Q38" s="7">
        <v>225</v>
      </c>
      <c r="R38" s="7">
        <v>325</v>
      </c>
      <c r="S38" s="7">
        <v>500</v>
      </c>
      <c r="T38" s="7"/>
      <c r="U38" s="7">
        <v>350</v>
      </c>
      <c r="V38" s="7"/>
      <c r="W38" s="7">
        <v>500</v>
      </c>
      <c r="X38" s="7">
        <v>400</v>
      </c>
      <c r="Y38" s="7"/>
      <c r="Z38" s="7">
        <v>250</v>
      </c>
      <c r="AA38" s="7">
        <v>287</v>
      </c>
      <c r="AB38" s="7">
        <v>270</v>
      </c>
      <c r="AC38" s="7">
        <v>320</v>
      </c>
      <c r="AD38" s="7">
        <v>500</v>
      </c>
      <c r="AE38" s="7">
        <v>300</v>
      </c>
      <c r="AF38" s="7">
        <v>250</v>
      </c>
      <c r="AG38" s="7">
        <v>250</v>
      </c>
      <c r="AH38" s="7">
        <v>375</v>
      </c>
      <c r="AI38" s="7">
        <v>450</v>
      </c>
      <c r="AJ38" s="7">
        <v>350</v>
      </c>
      <c r="AK38" s="7"/>
      <c r="AL38" s="7"/>
      <c r="AM38" s="35">
        <v>400</v>
      </c>
      <c r="AN38" s="35">
        <v>300</v>
      </c>
      <c r="AO38" s="35">
        <v>300</v>
      </c>
      <c r="AP38" s="35">
        <v>400</v>
      </c>
      <c r="AQ38" s="38">
        <v>287</v>
      </c>
      <c r="AR38" s="49">
        <v>500</v>
      </c>
      <c r="AS38" s="49">
        <v>450</v>
      </c>
      <c r="AT38" s="49">
        <v>350</v>
      </c>
      <c r="AU38" s="7"/>
      <c r="AV38">
        <f>INDEX(C38:AU38,0,$AV$4)</f>
        <v>500</v>
      </c>
      <c r="AX38" s="61">
        <f>SUMIF(C38:AL38,"&gt;"&amp;0,C38:AL38)</f>
        <v>10752</v>
      </c>
      <c r="AY38" s="61">
        <f>COUNTIF(C38:AL38,"&gt;"&amp;0)</f>
        <v>30</v>
      </c>
      <c r="AZ38" s="61">
        <f t="shared" si="8"/>
        <v>358.4</v>
      </c>
      <c r="BB38" s="106">
        <f t="shared" si="12"/>
        <v>225</v>
      </c>
      <c r="BC38">
        <f t="shared" si="13"/>
        <v>500</v>
      </c>
    </row>
    <row r="39" spans="1:55" ht="30" x14ac:dyDescent="0.25">
      <c r="B39" s="3" t="s">
        <v>28</v>
      </c>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c r="AL39" s="7"/>
      <c r="AM39" s="35"/>
      <c r="AN39" s="35"/>
      <c r="AO39" s="35"/>
      <c r="AP39" s="35"/>
      <c r="AQ39" s="38"/>
      <c r="AR39" s="49"/>
      <c r="AS39" s="49"/>
      <c r="AT39" s="49"/>
      <c r="AU39" s="7"/>
      <c r="AX39" s="61"/>
      <c r="AY39" s="61"/>
      <c r="AZ39" s="61"/>
    </row>
    <row r="40" spans="1:55" x14ac:dyDescent="0.25">
      <c r="A40">
        <v>37</v>
      </c>
      <c r="B40" s="5" t="s">
        <v>39</v>
      </c>
      <c r="C40" s="7">
        <v>4</v>
      </c>
      <c r="D40" s="7"/>
      <c r="E40" s="7">
        <f>85/60</f>
        <v>1.4166666666666667</v>
      </c>
      <c r="F40" s="7"/>
      <c r="G40" s="7">
        <f>(18907+590+5000+181)/(27*365)</f>
        <v>2.504109589041096</v>
      </c>
      <c r="H40" s="7">
        <f>2500/(30*26)</f>
        <v>3.2051282051282053</v>
      </c>
      <c r="I40" s="7"/>
      <c r="J40" s="7">
        <f>27794/(35*365)</f>
        <v>2.1756555772994131</v>
      </c>
      <c r="K40" s="7">
        <f>1500/(35*30)</f>
        <v>1.4285714285714286</v>
      </c>
      <c r="L40" s="7"/>
      <c r="M40" s="7"/>
      <c r="N40" s="7"/>
      <c r="O40" s="7"/>
      <c r="P40" s="7">
        <f>200/(50)</f>
        <v>4</v>
      </c>
      <c r="Q40" s="7"/>
      <c r="R40" s="7">
        <f>(65728+5240)*60/60/(85*365)</f>
        <v>2.2874456083803385</v>
      </c>
      <c r="S40" s="7">
        <f>2.1+1.2</f>
        <v>3.3</v>
      </c>
      <c r="T40" s="7"/>
      <c r="U40" s="7">
        <f>84/60</f>
        <v>1.4</v>
      </c>
      <c r="V40" s="7"/>
      <c r="W40" s="7"/>
      <c r="X40" s="7">
        <f>75/60</f>
        <v>1.25</v>
      </c>
      <c r="Y40" s="7">
        <f>(38400+360)/(45*365)</f>
        <v>2.3598173515981733</v>
      </c>
      <c r="Z40" s="7">
        <f>2600/(40*30)</f>
        <v>2.1666666666666665</v>
      </c>
      <c r="AA40" s="7">
        <f>4000/(140*30)</f>
        <v>0.95238095238095233</v>
      </c>
      <c r="AB40" s="7"/>
      <c r="AC40" s="7">
        <f>1800*12/(25*365)</f>
        <v>2.3671232876712329</v>
      </c>
      <c r="AD40" s="7">
        <f>85/60</f>
        <v>1.4166666666666667</v>
      </c>
      <c r="AE40" s="7"/>
      <c r="AF40" s="7">
        <v>2.75</v>
      </c>
      <c r="AG40" s="7"/>
      <c r="AH40" s="7">
        <f>84/AH7</f>
        <v>1.6153846153846154</v>
      </c>
      <c r="AI40" s="7">
        <f>45/50</f>
        <v>0.9</v>
      </c>
      <c r="AJ40" s="7">
        <f>120362/(85*365)</f>
        <v>3.8795165189363416</v>
      </c>
      <c r="AK40" s="7"/>
      <c r="AL40" s="7"/>
      <c r="AM40" s="35">
        <v>4</v>
      </c>
      <c r="AN40" s="35">
        <f>2500/(30*26)</f>
        <v>3.2051282051282053</v>
      </c>
      <c r="AO40" s="35">
        <f>1500/(35*30)</f>
        <v>1.4285714285714286</v>
      </c>
      <c r="AP40" s="35"/>
      <c r="AQ40" s="38">
        <f>4000/(140*30)</f>
        <v>0.95238095238095233</v>
      </c>
      <c r="AR40" s="49">
        <v>1.4166666666666667</v>
      </c>
      <c r="AS40" s="49">
        <v>0.9</v>
      </c>
      <c r="AT40" s="49">
        <f>120362/(85*365)</f>
        <v>3.8795165189363416</v>
      </c>
      <c r="AU40" s="7"/>
      <c r="AV40">
        <f t="shared" ref="AV40:AV48" si="14">INDEX(C40:AU40,0,$AV$4)</f>
        <v>0</v>
      </c>
      <c r="AX40" s="61">
        <f t="shared" ref="AX40:AX48" si="15">SUMIF(C40:AL40,"&gt;"&amp;0,C40:AL40)</f>
        <v>45.375133134391788</v>
      </c>
      <c r="AY40" s="61">
        <f t="shared" ref="AY40:AY48" si="16">COUNTIF(C40:AL40,"&gt;"&amp;0)</f>
        <v>20</v>
      </c>
      <c r="AZ40" s="61">
        <f t="shared" si="8"/>
        <v>2.2687566567195896</v>
      </c>
    </row>
    <row r="41" spans="1:55" x14ac:dyDescent="0.25">
      <c r="A41">
        <v>38</v>
      </c>
      <c r="B41" s="5" t="s">
        <v>83</v>
      </c>
      <c r="C41" s="7">
        <v>10</v>
      </c>
      <c r="D41" s="7"/>
      <c r="E41" s="7">
        <v>4.5</v>
      </c>
      <c r="F41" s="7"/>
      <c r="G41" s="7">
        <f>200/(27*6)</f>
        <v>1.2345679012345678</v>
      </c>
      <c r="H41" s="7"/>
      <c r="I41" s="7"/>
      <c r="J41" s="7"/>
      <c r="K41" s="86">
        <f>1200/(35*K8)</f>
        <v>5.6360078277886503</v>
      </c>
      <c r="L41" s="7"/>
      <c r="M41" s="7"/>
      <c r="N41" s="7"/>
      <c r="O41" s="7"/>
      <c r="P41" s="7">
        <v>15</v>
      </c>
      <c r="Q41" s="7"/>
      <c r="R41" s="7">
        <f>500/(85*6)</f>
        <v>0.98039215686274506</v>
      </c>
      <c r="S41" s="7">
        <f>26/6</f>
        <v>4.333333333333333</v>
      </c>
      <c r="T41" s="7"/>
      <c r="U41" s="7">
        <v>12</v>
      </c>
      <c r="V41" s="7"/>
      <c r="W41" s="7"/>
      <c r="X41" s="7">
        <v>10</v>
      </c>
      <c r="Y41" s="7"/>
      <c r="Z41" s="7">
        <f>250*2/40</f>
        <v>12.5</v>
      </c>
      <c r="AA41" s="7">
        <f>250*2/95</f>
        <v>5.2631578947368425</v>
      </c>
      <c r="AB41" s="7"/>
      <c r="AC41" s="7">
        <f>120*2/25</f>
        <v>9.6</v>
      </c>
      <c r="AD41" s="7">
        <v>10</v>
      </c>
      <c r="AE41" s="7"/>
      <c r="AF41" s="7">
        <v>10</v>
      </c>
      <c r="AG41" s="7"/>
      <c r="AH41" s="7">
        <v>12</v>
      </c>
      <c r="AI41" s="7"/>
      <c r="AJ41" s="79"/>
      <c r="AK41" s="7"/>
      <c r="AL41" s="7"/>
      <c r="AM41" s="35">
        <v>10</v>
      </c>
      <c r="AN41" s="35"/>
      <c r="AO41" s="35">
        <f>1200/(35*30)</f>
        <v>1.1428571428571428</v>
      </c>
      <c r="AP41" s="35"/>
      <c r="AQ41" s="38">
        <f>250*2/95</f>
        <v>5.2631578947368425</v>
      </c>
      <c r="AR41" s="49">
        <v>10</v>
      </c>
      <c r="AS41" s="49"/>
      <c r="AT41" s="49"/>
      <c r="AU41" s="7"/>
      <c r="AV41">
        <f t="shared" si="14"/>
        <v>0</v>
      </c>
      <c r="AX41" s="61">
        <f t="shared" si="15"/>
        <v>123.04745911395614</v>
      </c>
      <c r="AY41" s="61">
        <f t="shared" si="16"/>
        <v>15</v>
      </c>
      <c r="AZ41" s="61">
        <f t="shared" si="8"/>
        <v>8.2031639409304091</v>
      </c>
    </row>
    <row r="42" spans="1:55" x14ac:dyDescent="0.25">
      <c r="A42">
        <v>39</v>
      </c>
      <c r="B42" s="5" t="s">
        <v>84</v>
      </c>
      <c r="C42" s="7">
        <v>2</v>
      </c>
      <c r="D42" s="7"/>
      <c r="E42" s="7">
        <f>1*60/30</f>
        <v>2</v>
      </c>
      <c r="F42" s="7">
        <f>55</f>
        <v>55</v>
      </c>
      <c r="G42" s="7">
        <v>0</v>
      </c>
      <c r="H42" s="7">
        <f>100/(26)</f>
        <v>3.8461538461538463</v>
      </c>
      <c r="I42" s="7"/>
      <c r="J42" s="7"/>
      <c r="K42" s="86">
        <f>600/(35*K8)</f>
        <v>2.8180039138943251</v>
      </c>
      <c r="L42" s="7"/>
      <c r="M42" s="7"/>
      <c r="N42" s="7"/>
      <c r="O42" s="7"/>
      <c r="P42" s="7">
        <v>3</v>
      </c>
      <c r="Q42" s="7"/>
      <c r="R42" s="7">
        <f>1000/(85*6)</f>
        <v>1.9607843137254901</v>
      </c>
      <c r="S42" s="7"/>
      <c r="T42" s="7"/>
      <c r="U42" s="7">
        <v>1</v>
      </c>
      <c r="V42" s="7"/>
      <c r="W42" s="7"/>
      <c r="X42" s="7"/>
      <c r="Y42" s="7"/>
      <c r="Z42" s="7">
        <f>50*2/40</f>
        <v>2.5</v>
      </c>
      <c r="AA42" s="7">
        <f>150*2/95</f>
        <v>3.1578947368421053</v>
      </c>
      <c r="AB42" s="7">
        <f>12847/(100*6)</f>
        <v>21.411666666666665</v>
      </c>
      <c r="AC42" s="7"/>
      <c r="AD42" s="7">
        <v>3</v>
      </c>
      <c r="AE42" s="7"/>
      <c r="AF42" s="7">
        <v>5</v>
      </c>
      <c r="AG42" s="7"/>
      <c r="AH42" s="7">
        <v>1</v>
      </c>
      <c r="AI42" s="7">
        <f>25*60/50</f>
        <v>30</v>
      </c>
      <c r="AJ42" s="86">
        <f>8540/(AJ12*AJ8)</f>
        <v>11.698630136986301</v>
      </c>
      <c r="AK42" s="7"/>
      <c r="AL42" s="7"/>
      <c r="AM42" s="35">
        <v>2</v>
      </c>
      <c r="AN42" s="35">
        <f>100/(26)</f>
        <v>3.8461538461538463</v>
      </c>
      <c r="AO42" s="35">
        <f>600/(35*30)</f>
        <v>0.5714285714285714</v>
      </c>
      <c r="AP42" s="35"/>
      <c r="AQ42" s="38">
        <f>150*2/95</f>
        <v>3.1578947368421053</v>
      </c>
      <c r="AR42" s="49">
        <v>3</v>
      </c>
      <c r="AS42" s="49">
        <v>30</v>
      </c>
      <c r="AT42" s="49"/>
      <c r="AU42" s="7"/>
      <c r="AV42">
        <f t="shared" si="14"/>
        <v>0</v>
      </c>
      <c r="AX42" s="61">
        <f t="shared" si="15"/>
        <v>149.39313361426872</v>
      </c>
      <c r="AY42" s="61">
        <f t="shared" si="16"/>
        <v>16</v>
      </c>
      <c r="AZ42" s="61">
        <f t="shared" si="8"/>
        <v>9.337070850891795</v>
      </c>
    </row>
    <row r="43" spans="1:55" x14ac:dyDescent="0.25">
      <c r="A43">
        <v>40</v>
      </c>
      <c r="B43" s="5" t="s">
        <v>40</v>
      </c>
      <c r="C43" s="7">
        <v>1000</v>
      </c>
      <c r="D43" s="7"/>
      <c r="E43" s="7">
        <v>0</v>
      </c>
      <c r="F43" s="7">
        <f>55</f>
        <v>55</v>
      </c>
      <c r="G43" s="7">
        <v>0</v>
      </c>
      <c r="H43" s="7"/>
      <c r="I43" s="7"/>
      <c r="J43" s="7"/>
      <c r="K43" s="7"/>
      <c r="L43" s="7"/>
      <c r="M43" s="7"/>
      <c r="N43" s="7"/>
      <c r="O43" s="7"/>
      <c r="P43" s="7"/>
      <c r="Q43" s="7"/>
      <c r="R43" s="7"/>
      <c r="S43" s="7"/>
      <c r="T43" s="7"/>
      <c r="U43" s="7"/>
      <c r="V43" s="7"/>
      <c r="W43" s="7"/>
      <c r="X43" s="7"/>
      <c r="Y43" s="7"/>
      <c r="Z43" s="7"/>
      <c r="AA43" s="7">
        <f>200*12</f>
        <v>2400</v>
      </c>
      <c r="AB43" s="7"/>
      <c r="AC43" s="7"/>
      <c r="AD43" s="7"/>
      <c r="AE43" s="7"/>
      <c r="AF43" s="7"/>
      <c r="AG43" s="7"/>
      <c r="AH43" s="7">
        <v>0</v>
      </c>
      <c r="AI43" s="7"/>
      <c r="AJ43" s="7">
        <v>1368</v>
      </c>
      <c r="AK43" s="7"/>
      <c r="AL43" s="7"/>
      <c r="AM43" s="35">
        <v>1000</v>
      </c>
      <c r="AN43" s="35"/>
      <c r="AO43" s="35"/>
      <c r="AP43" s="35"/>
      <c r="AQ43" s="38">
        <f>200*12</f>
        <v>2400</v>
      </c>
      <c r="AR43" s="49"/>
      <c r="AS43" s="49"/>
      <c r="AT43" s="49">
        <v>1368</v>
      </c>
      <c r="AU43" s="7"/>
      <c r="AV43">
        <f t="shared" si="14"/>
        <v>0</v>
      </c>
      <c r="AX43" s="61">
        <f t="shared" si="15"/>
        <v>4823</v>
      </c>
      <c r="AY43" s="61">
        <f t="shared" si="16"/>
        <v>4</v>
      </c>
      <c r="AZ43" s="61">
        <f t="shared" si="8"/>
        <v>1205.75</v>
      </c>
    </row>
    <row r="44" spans="1:55" x14ac:dyDescent="0.25">
      <c r="A44">
        <v>41</v>
      </c>
      <c r="B44" s="5" t="s">
        <v>41</v>
      </c>
      <c r="C44" s="7">
        <v>5000</v>
      </c>
      <c r="D44" s="7"/>
      <c r="E44" s="7">
        <f>1*134*12</f>
        <v>1608</v>
      </c>
      <c r="F44" s="7"/>
      <c r="G44" s="7">
        <v>1200</v>
      </c>
      <c r="H44" s="7">
        <f>65*12</f>
        <v>780</v>
      </c>
      <c r="I44" s="7"/>
      <c r="J44" s="7"/>
      <c r="K44" s="7"/>
      <c r="L44" s="7"/>
      <c r="M44" s="7"/>
      <c r="N44" s="7"/>
      <c r="O44" s="7"/>
      <c r="P44" s="7">
        <f>1*50*365</f>
        <v>18250</v>
      </c>
      <c r="Q44" s="7"/>
      <c r="R44" s="7">
        <f>3000/(85*6)</f>
        <v>5.882352941176471</v>
      </c>
      <c r="S44" s="7"/>
      <c r="T44" s="7"/>
      <c r="U44" s="7"/>
      <c r="V44" s="7"/>
      <c r="W44" s="7"/>
      <c r="X44" s="7"/>
      <c r="Y44" s="7"/>
      <c r="Z44" s="7">
        <f>125812</f>
        <v>125812</v>
      </c>
      <c r="AA44" s="7">
        <f>460*12</f>
        <v>5520</v>
      </c>
      <c r="AB44" s="7"/>
      <c r="AC44" s="7"/>
      <c r="AD44" s="7">
        <f>100*12</f>
        <v>1200</v>
      </c>
      <c r="AE44" s="7"/>
      <c r="AF44" s="7">
        <v>200</v>
      </c>
      <c r="AG44" s="7"/>
      <c r="AH44" s="7">
        <v>0</v>
      </c>
      <c r="AI44" s="7"/>
      <c r="AJ44" s="7">
        <v>10776</v>
      </c>
      <c r="AK44" s="7"/>
      <c r="AL44" s="7"/>
      <c r="AM44" s="35">
        <v>5000</v>
      </c>
      <c r="AN44" s="35">
        <f>65*12</f>
        <v>780</v>
      </c>
      <c r="AO44" s="35"/>
      <c r="AP44" s="35"/>
      <c r="AQ44" s="38">
        <f>460*12</f>
        <v>5520</v>
      </c>
      <c r="AR44" s="49">
        <v>1200</v>
      </c>
      <c r="AS44" s="49"/>
      <c r="AT44" s="49">
        <v>10776</v>
      </c>
      <c r="AU44" s="7"/>
      <c r="AV44">
        <f t="shared" si="14"/>
        <v>0</v>
      </c>
      <c r="AX44" s="61">
        <f t="shared" si="15"/>
        <v>170351.88235294117</v>
      </c>
      <c r="AY44" s="61">
        <f t="shared" si="16"/>
        <v>11</v>
      </c>
      <c r="AZ44" s="61">
        <f t="shared" si="8"/>
        <v>15486.534759358288</v>
      </c>
    </row>
    <row r="45" spans="1:55" x14ac:dyDescent="0.25">
      <c r="A45">
        <v>42</v>
      </c>
      <c r="B45" s="5" t="s">
        <v>44</v>
      </c>
      <c r="C45" s="7">
        <v>0.5</v>
      </c>
      <c r="D45" s="7"/>
      <c r="E45" s="7">
        <f>5/30</f>
        <v>0.16666666666666666</v>
      </c>
      <c r="F45" s="7"/>
      <c r="G45" s="7">
        <f>1500/(27*365)</f>
        <v>0.15220700152207001</v>
      </c>
      <c r="H45" s="7">
        <f>335/(26*30)</f>
        <v>0.42948717948717946</v>
      </c>
      <c r="I45" s="7"/>
      <c r="J45" s="7"/>
      <c r="K45" s="7">
        <f>600/(35*30)</f>
        <v>0.5714285714285714</v>
      </c>
      <c r="L45" s="7"/>
      <c r="M45" s="7"/>
      <c r="N45" s="7"/>
      <c r="O45" s="7"/>
      <c r="P45" s="7">
        <f>11/60</f>
        <v>0.18333333333333332</v>
      </c>
      <c r="Q45" s="7"/>
      <c r="R45" s="7">
        <f>2000/(85*6)</f>
        <v>3.9215686274509802</v>
      </c>
      <c r="S45" s="7">
        <f>0.25</f>
        <v>0.25</v>
      </c>
      <c r="T45" s="7"/>
      <c r="U45" s="7">
        <f>1.5/60</f>
        <v>2.5000000000000001E-2</v>
      </c>
      <c r="V45" s="7"/>
      <c r="W45" s="7"/>
      <c r="X45" s="7">
        <f>12/60</f>
        <v>0.2</v>
      </c>
      <c r="Y45" s="7"/>
      <c r="Z45" s="7">
        <f>130*2/(40*60)</f>
        <v>0.10833333333333334</v>
      </c>
      <c r="AA45" s="7">
        <f>1300/(95*30)</f>
        <v>0.45614035087719296</v>
      </c>
      <c r="AB45" s="7"/>
      <c r="AC45" s="7">
        <f>150*2/(25*60)</f>
        <v>0.2</v>
      </c>
      <c r="AD45" s="7"/>
      <c r="AE45" s="7"/>
      <c r="AF45" s="7">
        <f>68/(7*18)</f>
        <v>0.53968253968253965</v>
      </c>
      <c r="AG45" s="7"/>
      <c r="AH45" s="7">
        <f>1.5/AH7</f>
        <v>2.8846153846153848E-2</v>
      </c>
      <c r="AI45" s="7">
        <f>35/50</f>
        <v>0.7</v>
      </c>
      <c r="AJ45" s="7">
        <f>3500/(85*365)</f>
        <v>0.11281224818694602</v>
      </c>
      <c r="AK45" s="7"/>
      <c r="AL45" s="7"/>
      <c r="AM45" s="35">
        <v>0.5</v>
      </c>
      <c r="AN45" s="35">
        <f>335/(26*30)</f>
        <v>0.42948717948717946</v>
      </c>
      <c r="AO45" s="35">
        <f>600/(35*30)</f>
        <v>0.5714285714285714</v>
      </c>
      <c r="AP45" s="35"/>
      <c r="AQ45" s="38">
        <f>1300/(95*30)</f>
        <v>0.45614035087719296</v>
      </c>
      <c r="AR45" s="49"/>
      <c r="AS45" s="49">
        <v>0.7</v>
      </c>
      <c r="AT45" s="49">
        <f>3500/(85*365)</f>
        <v>0.11281224818694602</v>
      </c>
      <c r="AU45" s="7"/>
      <c r="AV45">
        <f t="shared" si="14"/>
        <v>0</v>
      </c>
      <c r="AX45" s="61">
        <f t="shared" si="15"/>
        <v>8.5455060058149677</v>
      </c>
      <c r="AY45" s="61">
        <f t="shared" si="16"/>
        <v>17</v>
      </c>
      <c r="AZ45" s="61">
        <f t="shared" si="8"/>
        <v>0.50267682387146873</v>
      </c>
    </row>
    <row r="46" spans="1:55" x14ac:dyDescent="0.25">
      <c r="A46">
        <v>43</v>
      </c>
      <c r="B46" s="5" t="s">
        <v>42</v>
      </c>
      <c r="C46" s="7">
        <v>2000</v>
      </c>
      <c r="D46" s="7"/>
      <c r="E46" s="7">
        <v>2733</v>
      </c>
      <c r="F46" s="7">
        <f>1200*12</f>
        <v>14400</v>
      </c>
      <c r="G46" s="7">
        <v>0</v>
      </c>
      <c r="H46" s="7">
        <f>880*12</f>
        <v>10560</v>
      </c>
      <c r="I46" s="7"/>
      <c r="J46" s="7"/>
      <c r="K46" s="7"/>
      <c r="L46" s="7"/>
      <c r="M46" s="7"/>
      <c r="N46" s="7"/>
      <c r="O46" s="7"/>
      <c r="P46" s="37">
        <f>2*50*365</f>
        <v>36500</v>
      </c>
      <c r="Q46" s="7"/>
      <c r="R46" s="7"/>
      <c r="S46" s="7"/>
      <c r="T46" s="7"/>
      <c r="U46" s="7"/>
      <c r="V46" s="7"/>
      <c r="W46" s="7"/>
      <c r="X46" s="7"/>
      <c r="Y46" s="7"/>
      <c r="Z46" s="7"/>
      <c r="AA46" s="7">
        <f>1000*12</f>
        <v>12000</v>
      </c>
      <c r="AB46" s="7"/>
      <c r="AC46" s="7"/>
      <c r="AD46" s="7"/>
      <c r="AE46" s="7"/>
      <c r="AF46" s="7"/>
      <c r="AG46" s="7"/>
      <c r="AH46" s="7">
        <v>0</v>
      </c>
      <c r="AI46" s="7">
        <f>1600*12</f>
        <v>19200</v>
      </c>
      <c r="AJ46" s="7">
        <v>0</v>
      </c>
      <c r="AK46" s="7"/>
      <c r="AL46" s="7"/>
      <c r="AM46" s="35">
        <v>2000</v>
      </c>
      <c r="AN46" s="35">
        <f>880*12</f>
        <v>10560</v>
      </c>
      <c r="AO46" s="35"/>
      <c r="AP46" s="35"/>
      <c r="AQ46" s="38">
        <f>1000*12</f>
        <v>12000</v>
      </c>
      <c r="AR46" s="49"/>
      <c r="AS46" s="49">
        <v>19200</v>
      </c>
      <c r="AT46" s="49">
        <v>0</v>
      </c>
      <c r="AU46" s="7"/>
      <c r="AV46">
        <f t="shared" si="14"/>
        <v>0</v>
      </c>
      <c r="AX46" s="61">
        <f t="shared" si="15"/>
        <v>97393</v>
      </c>
      <c r="AY46" s="61">
        <f t="shared" si="16"/>
        <v>7</v>
      </c>
      <c r="AZ46" s="61">
        <f t="shared" si="8"/>
        <v>13913.285714285714</v>
      </c>
    </row>
    <row r="47" spans="1:55" x14ac:dyDescent="0.25">
      <c r="A47">
        <v>44</v>
      </c>
      <c r="B47" s="5" t="s">
        <v>43</v>
      </c>
      <c r="C47" s="7">
        <v>1000</v>
      </c>
      <c r="D47" s="7"/>
      <c r="E47" s="7">
        <v>150</v>
      </c>
      <c r="F47" s="7"/>
      <c r="G47" s="7">
        <v>280</v>
      </c>
      <c r="H47" s="7">
        <v>1200</v>
      </c>
      <c r="I47" s="7"/>
      <c r="J47" s="7"/>
      <c r="K47" s="7"/>
      <c r="L47" s="7"/>
      <c r="M47" s="7"/>
      <c r="N47" s="7"/>
      <c r="O47" s="7"/>
      <c r="P47" s="37">
        <f>1*50*365</f>
        <v>18250</v>
      </c>
      <c r="Q47" s="7"/>
      <c r="R47" s="7">
        <f>200/(85*6)</f>
        <v>0.39215686274509803</v>
      </c>
      <c r="S47" s="7"/>
      <c r="T47" s="7"/>
      <c r="U47" s="7"/>
      <c r="V47" s="7"/>
      <c r="W47" s="7"/>
      <c r="X47" s="7"/>
      <c r="Y47" s="7"/>
      <c r="Z47" s="7">
        <f>225*12</f>
        <v>2700</v>
      </c>
      <c r="AA47" s="7">
        <f>1000</f>
        <v>1000</v>
      </c>
      <c r="AB47" s="7"/>
      <c r="AC47" s="7"/>
      <c r="AD47" s="7">
        <f>3*34*6</f>
        <v>612</v>
      </c>
      <c r="AE47" s="7"/>
      <c r="AF47" s="7">
        <v>200</v>
      </c>
      <c r="AG47" s="7"/>
      <c r="AH47" s="7">
        <v>0</v>
      </c>
      <c r="AI47" s="7">
        <v>500</v>
      </c>
      <c r="AJ47" s="7">
        <v>100</v>
      </c>
      <c r="AK47" s="7"/>
      <c r="AL47" s="7"/>
      <c r="AM47" s="35">
        <v>1000</v>
      </c>
      <c r="AN47" s="35">
        <v>1200</v>
      </c>
      <c r="AO47" s="35"/>
      <c r="AP47" s="35"/>
      <c r="AQ47" s="38">
        <f>1000</f>
        <v>1000</v>
      </c>
      <c r="AR47" s="49">
        <v>612</v>
      </c>
      <c r="AS47" s="49">
        <v>500</v>
      </c>
      <c r="AT47" s="49">
        <v>100</v>
      </c>
      <c r="AU47" s="7"/>
      <c r="AV47">
        <f t="shared" si="14"/>
        <v>0</v>
      </c>
      <c r="AX47" s="61">
        <f t="shared" si="15"/>
        <v>25992.392156862745</v>
      </c>
      <c r="AY47" s="61">
        <f t="shared" si="16"/>
        <v>12</v>
      </c>
      <c r="AZ47" s="61">
        <f t="shared" si="8"/>
        <v>2166.0326797385619</v>
      </c>
    </row>
    <row r="48" spans="1:55" x14ac:dyDescent="0.25">
      <c r="A48">
        <v>45</v>
      </c>
      <c r="B48" s="5" t="s">
        <v>88</v>
      </c>
      <c r="C48" s="7">
        <v>0</v>
      </c>
      <c r="D48" s="7"/>
      <c r="E48" s="7">
        <v>0</v>
      </c>
      <c r="F48" s="7"/>
      <c r="G48" s="7"/>
      <c r="H48" s="7">
        <f>5*12</f>
        <v>60</v>
      </c>
      <c r="I48" s="7"/>
      <c r="J48" s="7"/>
      <c r="K48" s="7"/>
      <c r="L48" s="7"/>
      <c r="M48" s="7"/>
      <c r="N48" s="7"/>
      <c r="O48" s="7"/>
      <c r="P48" s="7"/>
      <c r="Q48" s="7"/>
      <c r="R48" s="7"/>
      <c r="S48" s="7"/>
      <c r="T48" s="7"/>
      <c r="U48" s="7">
        <f>2*26*6</f>
        <v>312</v>
      </c>
      <c r="V48" s="7"/>
      <c r="W48" s="7"/>
      <c r="X48" s="7"/>
      <c r="Y48" s="7"/>
      <c r="Z48" s="7">
        <f>25*12</f>
        <v>300</v>
      </c>
      <c r="AA48" s="7">
        <f>5*95*365</f>
        <v>173375</v>
      </c>
      <c r="AB48" s="7"/>
      <c r="AC48" s="7"/>
      <c r="AD48" s="7"/>
      <c r="AE48" s="7"/>
      <c r="AF48" s="7">
        <f>10*18*6</f>
        <v>1080</v>
      </c>
      <c r="AG48" s="7"/>
      <c r="AH48" s="7">
        <f>2*AH7*365</f>
        <v>37960</v>
      </c>
      <c r="AI48" s="7"/>
      <c r="AJ48" s="7"/>
      <c r="AK48" s="7"/>
      <c r="AL48" s="7"/>
      <c r="AM48" s="35">
        <v>0</v>
      </c>
      <c r="AN48" s="35">
        <f>5*12</f>
        <v>60</v>
      </c>
      <c r="AO48" s="35"/>
      <c r="AP48" s="35"/>
      <c r="AQ48" s="38">
        <f>5*95*365</f>
        <v>173375</v>
      </c>
      <c r="AR48" s="49"/>
      <c r="AS48" s="49"/>
      <c r="AT48" s="49"/>
      <c r="AU48" s="7"/>
      <c r="AV48">
        <f t="shared" si="14"/>
        <v>0</v>
      </c>
      <c r="AX48" s="61">
        <f t="shared" si="15"/>
        <v>213087</v>
      </c>
      <c r="AY48" s="61">
        <f t="shared" si="16"/>
        <v>6</v>
      </c>
      <c r="AZ48" s="61">
        <f t="shared" si="8"/>
        <v>35514.5</v>
      </c>
    </row>
    <row r="49" spans="2:55" x14ac:dyDescent="0.25">
      <c r="B49" s="5" t="s">
        <v>126</v>
      </c>
      <c r="C49" s="7">
        <f>C40*C$12*365</f>
        <v>73000</v>
      </c>
      <c r="D49" s="7"/>
      <c r="E49" s="7">
        <f t="shared" ref="E49:AS49" si="17">E40*E$12*365</f>
        <v>11375.833333333334</v>
      </c>
      <c r="F49" s="7">
        <f>F40*F$12*365</f>
        <v>0</v>
      </c>
      <c r="G49" s="7">
        <f>G40*G$12*365</f>
        <v>24678.000000000004</v>
      </c>
      <c r="H49" s="7">
        <f t="shared" si="17"/>
        <v>30416.666666666672</v>
      </c>
      <c r="I49" s="7">
        <f t="shared" si="17"/>
        <v>0</v>
      </c>
      <c r="J49" s="7">
        <f t="shared" si="17"/>
        <v>27794.000000000004</v>
      </c>
      <c r="K49" s="7">
        <f t="shared" si="17"/>
        <v>13035.714285714286</v>
      </c>
      <c r="L49" s="7">
        <f t="shared" si="17"/>
        <v>0</v>
      </c>
      <c r="M49" s="7">
        <f t="shared" si="17"/>
        <v>0</v>
      </c>
      <c r="N49" s="7">
        <f t="shared" si="17"/>
        <v>0</v>
      </c>
      <c r="O49" s="7">
        <f>O40*O$12*365</f>
        <v>0</v>
      </c>
      <c r="P49" s="7">
        <f t="shared" si="17"/>
        <v>73000</v>
      </c>
      <c r="Q49" s="7">
        <f t="shared" si="17"/>
        <v>0</v>
      </c>
      <c r="R49" s="7">
        <f t="shared" si="17"/>
        <v>70968</v>
      </c>
      <c r="S49" s="7">
        <f t="shared" si="17"/>
        <v>32521.499999999996</v>
      </c>
      <c r="T49" s="7">
        <f t="shared" si="17"/>
        <v>0</v>
      </c>
      <c r="U49" s="7">
        <f t="shared" si="17"/>
        <v>13286</v>
      </c>
      <c r="V49" s="7"/>
      <c r="W49" s="7"/>
      <c r="X49" s="7">
        <f t="shared" si="17"/>
        <v>18250</v>
      </c>
      <c r="Y49" s="7">
        <f t="shared" si="17"/>
        <v>38760</v>
      </c>
      <c r="Z49" s="7">
        <f t="shared" si="17"/>
        <v>31633.333333333328</v>
      </c>
      <c r="AA49" s="7">
        <f>AA40*AA$12*365</f>
        <v>33023.809523809519</v>
      </c>
      <c r="AB49" s="7"/>
      <c r="AC49" s="7">
        <f t="shared" si="17"/>
        <v>21600</v>
      </c>
      <c r="AD49" s="7">
        <f t="shared" si="17"/>
        <v>17580.833333333336</v>
      </c>
      <c r="AE49" s="7">
        <f t="shared" si="17"/>
        <v>0</v>
      </c>
      <c r="AF49" s="7">
        <f t="shared" si="17"/>
        <v>18067.5</v>
      </c>
      <c r="AG49" s="7">
        <f t="shared" si="17"/>
        <v>0</v>
      </c>
      <c r="AH49" s="7">
        <f t="shared" si="17"/>
        <v>18278.076923076926</v>
      </c>
      <c r="AI49" s="7">
        <f t="shared" si="17"/>
        <v>16425</v>
      </c>
      <c r="AJ49" s="7">
        <f t="shared" ref="AJ49" si="18">AJ40*AJ$12*365</f>
        <v>169922.82352941178</v>
      </c>
      <c r="AK49" s="7"/>
      <c r="AL49" s="7"/>
      <c r="AM49" s="7">
        <f t="shared" si="17"/>
        <v>292000</v>
      </c>
      <c r="AN49" s="7">
        <f t="shared" si="17"/>
        <v>30416.666666666672</v>
      </c>
      <c r="AO49" s="7">
        <f t="shared" si="17"/>
        <v>20857.142857142859</v>
      </c>
      <c r="AP49" s="7">
        <f t="shared" si="17"/>
        <v>0</v>
      </c>
      <c r="AQ49" s="38">
        <f>AQ40*AQ$12*365</f>
        <v>48666.666666666657</v>
      </c>
      <c r="AR49" s="7">
        <f t="shared" si="17"/>
        <v>20683.333333333336</v>
      </c>
      <c r="AS49" s="7">
        <f t="shared" si="17"/>
        <v>19710</v>
      </c>
      <c r="AT49" s="49">
        <f>AT40*AT$12*365</f>
        <v>212403.52941176473</v>
      </c>
      <c r="AU49" s="7">
        <f>AU40*AU$12*365</f>
        <v>0</v>
      </c>
    </row>
    <row r="50" spans="2:55" x14ac:dyDescent="0.25">
      <c r="B50" s="5" t="s">
        <v>127</v>
      </c>
      <c r="C50" s="86">
        <f>C41*C12*C8</f>
        <v>3093.2203389830511</v>
      </c>
      <c r="D50" s="7"/>
      <c r="E50" s="7">
        <f t="shared" ref="E50:AS50" si="19">E41*E12*6</f>
        <v>594</v>
      </c>
      <c r="F50" s="7">
        <f>F41*F12*6</f>
        <v>0</v>
      </c>
      <c r="G50" s="7">
        <f>G41*G12*6</f>
        <v>199.99999999999997</v>
      </c>
      <c r="H50" s="7">
        <f t="shared" si="19"/>
        <v>0</v>
      </c>
      <c r="I50" s="7">
        <f t="shared" si="19"/>
        <v>0</v>
      </c>
      <c r="J50" s="7">
        <f t="shared" si="19"/>
        <v>0</v>
      </c>
      <c r="K50" s="7">
        <f t="shared" si="19"/>
        <v>845.40117416829753</v>
      </c>
      <c r="L50" s="7">
        <f t="shared" si="19"/>
        <v>0</v>
      </c>
      <c r="M50" s="7">
        <f t="shared" si="19"/>
        <v>0</v>
      </c>
      <c r="N50" s="7">
        <f t="shared" si="19"/>
        <v>0</v>
      </c>
      <c r="O50" s="7">
        <f t="shared" ref="O50" si="20">O41*O12*6</f>
        <v>0</v>
      </c>
      <c r="P50" s="7">
        <f t="shared" si="19"/>
        <v>4500</v>
      </c>
      <c r="Q50" s="7">
        <f t="shared" si="19"/>
        <v>0</v>
      </c>
      <c r="R50" s="7">
        <f t="shared" si="19"/>
        <v>500</v>
      </c>
      <c r="S50" s="7">
        <f t="shared" si="19"/>
        <v>701.99999999999989</v>
      </c>
      <c r="T50" s="7">
        <f t="shared" si="19"/>
        <v>0</v>
      </c>
      <c r="U50" s="7">
        <f t="shared" si="19"/>
        <v>1872</v>
      </c>
      <c r="V50" s="7"/>
      <c r="W50" s="7"/>
      <c r="X50" s="7">
        <f t="shared" si="19"/>
        <v>2400</v>
      </c>
      <c r="Y50" s="7">
        <f t="shared" si="19"/>
        <v>0</v>
      </c>
      <c r="Z50" s="7">
        <f t="shared" si="19"/>
        <v>3000</v>
      </c>
      <c r="AA50" s="7">
        <f>AA41*AA12*6</f>
        <v>3000.0000000000005</v>
      </c>
      <c r="AB50" s="7"/>
      <c r="AC50" s="7">
        <f t="shared" si="19"/>
        <v>1440</v>
      </c>
      <c r="AD50" s="7">
        <f t="shared" si="19"/>
        <v>2040</v>
      </c>
      <c r="AE50" s="7">
        <f t="shared" si="19"/>
        <v>0</v>
      </c>
      <c r="AF50" s="7">
        <f t="shared" si="19"/>
        <v>1080</v>
      </c>
      <c r="AG50" s="7">
        <f t="shared" si="19"/>
        <v>0</v>
      </c>
      <c r="AH50" s="7">
        <f t="shared" si="19"/>
        <v>2232</v>
      </c>
      <c r="AI50" s="7">
        <f t="shared" si="19"/>
        <v>0</v>
      </c>
      <c r="AJ50" s="7">
        <f t="shared" ref="AJ50" si="21">AJ41*AJ12*6</f>
        <v>0</v>
      </c>
      <c r="AK50" s="7"/>
      <c r="AL50" s="7"/>
      <c r="AM50" s="7">
        <f t="shared" si="19"/>
        <v>12000</v>
      </c>
      <c r="AN50" s="7">
        <f t="shared" si="19"/>
        <v>0</v>
      </c>
      <c r="AO50" s="7">
        <f t="shared" si="19"/>
        <v>274.28571428571422</v>
      </c>
      <c r="AP50" s="7">
        <f t="shared" si="19"/>
        <v>0</v>
      </c>
      <c r="AQ50" s="38">
        <f t="shared" ref="AQ50" si="22">AQ41*AQ12*6</f>
        <v>4421.0526315789475</v>
      </c>
      <c r="AR50" s="7">
        <f t="shared" si="19"/>
        <v>2400</v>
      </c>
      <c r="AS50" s="7">
        <f t="shared" si="19"/>
        <v>0</v>
      </c>
      <c r="AT50" s="49">
        <f>AT41*AT12*6</f>
        <v>0</v>
      </c>
      <c r="AU50" s="7">
        <f>AU41*AU12*6</f>
        <v>0</v>
      </c>
    </row>
    <row r="51" spans="2:55" x14ac:dyDescent="0.25">
      <c r="B51" s="5" t="s">
        <v>128</v>
      </c>
      <c r="C51" s="86">
        <f>C42*C12*C8</f>
        <v>618.64406779661022</v>
      </c>
      <c r="D51" s="7"/>
      <c r="E51" s="7">
        <f t="shared" ref="E51:AS51" si="23">E42*E12*6</f>
        <v>264</v>
      </c>
      <c r="F51" s="7">
        <f>F42*F12*6</f>
        <v>13200</v>
      </c>
      <c r="G51" s="7">
        <f>G42*G12*6</f>
        <v>0</v>
      </c>
      <c r="H51" s="7">
        <f t="shared" si="23"/>
        <v>600</v>
      </c>
      <c r="I51" s="7">
        <f t="shared" si="23"/>
        <v>0</v>
      </c>
      <c r="J51" s="7">
        <f t="shared" si="23"/>
        <v>0</v>
      </c>
      <c r="K51" s="7">
        <f t="shared" si="23"/>
        <v>422.70058708414876</v>
      </c>
      <c r="L51" s="7">
        <f t="shared" si="23"/>
        <v>0</v>
      </c>
      <c r="M51" s="7">
        <f t="shared" si="23"/>
        <v>0</v>
      </c>
      <c r="N51" s="7">
        <f t="shared" si="23"/>
        <v>0</v>
      </c>
      <c r="O51" s="7">
        <f t="shared" ref="O51" si="24">O42*O12*6</f>
        <v>0</v>
      </c>
      <c r="P51" s="7">
        <f t="shared" si="23"/>
        <v>900</v>
      </c>
      <c r="Q51" s="7">
        <f t="shared" si="23"/>
        <v>0</v>
      </c>
      <c r="R51" s="7">
        <f t="shared" si="23"/>
        <v>1000</v>
      </c>
      <c r="S51" s="7">
        <f t="shared" si="23"/>
        <v>0</v>
      </c>
      <c r="T51" s="7">
        <f t="shared" si="23"/>
        <v>0</v>
      </c>
      <c r="U51" s="7">
        <f t="shared" si="23"/>
        <v>156</v>
      </c>
      <c r="V51" s="7"/>
      <c r="W51" s="7"/>
      <c r="X51" s="7">
        <f t="shared" si="23"/>
        <v>0</v>
      </c>
      <c r="Y51" s="7">
        <f t="shared" si="23"/>
        <v>0</v>
      </c>
      <c r="Z51" s="7">
        <f t="shared" si="23"/>
        <v>600</v>
      </c>
      <c r="AA51" s="7">
        <f>AA42*AA12*6</f>
        <v>1800</v>
      </c>
      <c r="AB51" s="7"/>
      <c r="AC51" s="7">
        <f t="shared" si="23"/>
        <v>0</v>
      </c>
      <c r="AD51" s="7">
        <f t="shared" si="23"/>
        <v>612</v>
      </c>
      <c r="AE51" s="7">
        <f t="shared" si="23"/>
        <v>0</v>
      </c>
      <c r="AF51" s="7">
        <f t="shared" si="23"/>
        <v>540</v>
      </c>
      <c r="AG51" s="7">
        <f t="shared" si="23"/>
        <v>0</v>
      </c>
      <c r="AH51" s="7">
        <f t="shared" si="23"/>
        <v>186</v>
      </c>
      <c r="AI51" s="7">
        <f t="shared" si="23"/>
        <v>9000</v>
      </c>
      <c r="AJ51" s="7">
        <f t="shared" ref="AJ51" si="25">AJ42*AJ12*6</f>
        <v>8423.0136986301368</v>
      </c>
      <c r="AK51" s="7"/>
      <c r="AL51" s="7"/>
      <c r="AM51" s="7">
        <f t="shared" si="23"/>
        <v>2400</v>
      </c>
      <c r="AN51" s="7">
        <f t="shared" si="23"/>
        <v>600</v>
      </c>
      <c r="AO51" s="7">
        <f t="shared" si="23"/>
        <v>137.14285714285711</v>
      </c>
      <c r="AP51" s="7">
        <f t="shared" si="23"/>
        <v>0</v>
      </c>
      <c r="AQ51" s="38">
        <f t="shared" ref="AQ51" si="26">AQ42*AQ12*6</f>
        <v>2652.6315789473683</v>
      </c>
      <c r="AR51" s="7">
        <f t="shared" si="23"/>
        <v>720</v>
      </c>
      <c r="AS51" s="7">
        <f t="shared" si="23"/>
        <v>10800</v>
      </c>
      <c r="AT51" s="49">
        <f>AT42*AT12*6</f>
        <v>0</v>
      </c>
      <c r="AU51" s="7">
        <f>AU42*AU12*6</f>
        <v>0</v>
      </c>
    </row>
    <row r="52" spans="2:55" x14ac:dyDescent="0.25">
      <c r="B52" s="5" t="s">
        <v>129</v>
      </c>
      <c r="C52" s="7">
        <f>C45*C12*365</f>
        <v>9125</v>
      </c>
      <c r="D52" s="7"/>
      <c r="E52" s="7">
        <f t="shared" ref="E52:AS52" si="27">E45*E12*365</f>
        <v>1338.3333333333333</v>
      </c>
      <c r="F52" s="7">
        <f>F45*F12*365</f>
        <v>0</v>
      </c>
      <c r="G52" s="7">
        <f>G45*G12*365</f>
        <v>1499.9999999999998</v>
      </c>
      <c r="H52" s="7">
        <f t="shared" si="27"/>
        <v>4075.833333333333</v>
      </c>
      <c r="I52" s="7">
        <f t="shared" si="27"/>
        <v>0</v>
      </c>
      <c r="J52" s="7">
        <f t="shared" si="27"/>
        <v>0</v>
      </c>
      <c r="K52" s="7">
        <f t="shared" si="27"/>
        <v>5214.2857142857138</v>
      </c>
      <c r="L52" s="7">
        <f t="shared" si="27"/>
        <v>0</v>
      </c>
      <c r="M52" s="7">
        <f t="shared" si="27"/>
        <v>0</v>
      </c>
      <c r="N52" s="7">
        <f t="shared" si="27"/>
        <v>0</v>
      </c>
      <c r="O52" s="7">
        <f t="shared" ref="O52" si="28">O45*O12*365</f>
        <v>0</v>
      </c>
      <c r="P52" s="7">
        <f t="shared" si="27"/>
        <v>3345.833333333333</v>
      </c>
      <c r="Q52" s="7">
        <f t="shared" si="27"/>
        <v>0</v>
      </c>
      <c r="R52" s="7">
        <f t="shared" si="27"/>
        <v>121666.66666666666</v>
      </c>
      <c r="S52" s="7">
        <f t="shared" si="27"/>
        <v>2463.75</v>
      </c>
      <c r="T52" s="7">
        <f t="shared" si="27"/>
        <v>0</v>
      </c>
      <c r="U52" s="7">
        <f t="shared" si="27"/>
        <v>237.25</v>
      </c>
      <c r="V52" s="7"/>
      <c r="W52" s="7"/>
      <c r="X52" s="7">
        <f t="shared" si="27"/>
        <v>2920</v>
      </c>
      <c r="Y52" s="7">
        <f t="shared" si="27"/>
        <v>0</v>
      </c>
      <c r="Z52" s="7">
        <f t="shared" si="27"/>
        <v>1581.666666666667</v>
      </c>
      <c r="AA52" s="7">
        <f>AA45*AA12*365</f>
        <v>15816.666666666664</v>
      </c>
      <c r="AB52" s="7"/>
      <c r="AC52" s="7">
        <f t="shared" si="27"/>
        <v>1825</v>
      </c>
      <c r="AD52" s="7">
        <f t="shared" si="27"/>
        <v>0</v>
      </c>
      <c r="AE52" s="7">
        <f t="shared" si="27"/>
        <v>0</v>
      </c>
      <c r="AF52" s="7">
        <f t="shared" si="27"/>
        <v>3545.7142857142853</v>
      </c>
      <c r="AG52" s="7">
        <f t="shared" si="27"/>
        <v>0</v>
      </c>
      <c r="AH52" s="7">
        <f t="shared" si="27"/>
        <v>326.39423076923077</v>
      </c>
      <c r="AI52" s="7">
        <f t="shared" si="27"/>
        <v>12775</v>
      </c>
      <c r="AJ52" s="7">
        <f t="shared" ref="AJ52" si="29">AJ45*AJ12*365</f>
        <v>4941.176470588236</v>
      </c>
      <c r="AK52" s="7"/>
      <c r="AL52" s="7"/>
      <c r="AM52" s="7">
        <f t="shared" si="27"/>
        <v>36500</v>
      </c>
      <c r="AN52" s="7">
        <f t="shared" si="27"/>
        <v>4075.833333333333</v>
      </c>
      <c r="AO52" s="7">
        <f t="shared" si="27"/>
        <v>8342.8571428571413</v>
      </c>
      <c r="AP52" s="7">
        <f t="shared" si="27"/>
        <v>0</v>
      </c>
      <c r="AQ52" s="38">
        <f t="shared" ref="AQ52" si="30">AQ45*AQ12*365</f>
        <v>23308.771929824561</v>
      </c>
      <c r="AR52" s="7">
        <f t="shared" si="27"/>
        <v>0</v>
      </c>
      <c r="AS52" s="7">
        <f t="shared" si="27"/>
        <v>15330</v>
      </c>
      <c r="AT52" s="49">
        <f>AT45*AT12*365</f>
        <v>6176.4705882352946</v>
      </c>
      <c r="AU52" s="7">
        <f>AU45*AU12*365</f>
        <v>0</v>
      </c>
    </row>
    <row r="53" spans="2:55" x14ac:dyDescent="0.25">
      <c r="B53" s="5"/>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7"/>
      <c r="AT53" s="49"/>
      <c r="AU53" s="7"/>
      <c r="AY53">
        <f>COUNT(C54:AL54)</f>
        <v>32</v>
      </c>
    </row>
    <row r="54" spans="2:55" x14ac:dyDescent="0.25">
      <c r="B54" s="5" t="s">
        <v>130</v>
      </c>
      <c r="C54" s="60">
        <f>C40*60</f>
        <v>240</v>
      </c>
      <c r="D54" s="60">
        <f t="shared" ref="D54:AI54" si="31">D40*60</f>
        <v>0</v>
      </c>
      <c r="E54" s="60">
        <f t="shared" si="31"/>
        <v>85</v>
      </c>
      <c r="F54" s="60">
        <f>F40*60</f>
        <v>0</v>
      </c>
      <c r="G54" s="60">
        <f>G40*60</f>
        <v>150.24657534246577</v>
      </c>
      <c r="H54" s="60">
        <f t="shared" si="31"/>
        <v>192.30769230769232</v>
      </c>
      <c r="I54" s="60">
        <f t="shared" si="31"/>
        <v>0</v>
      </c>
      <c r="J54" s="60">
        <f t="shared" si="31"/>
        <v>130.53933463796477</v>
      </c>
      <c r="K54" s="60">
        <f t="shared" si="31"/>
        <v>85.714285714285722</v>
      </c>
      <c r="L54" s="60">
        <f t="shared" si="31"/>
        <v>0</v>
      </c>
      <c r="M54" s="60">
        <f t="shared" si="31"/>
        <v>0</v>
      </c>
      <c r="N54" s="60">
        <f t="shared" si="31"/>
        <v>0</v>
      </c>
      <c r="O54" s="60">
        <f t="shared" ref="O54" si="32">O40*60</f>
        <v>0</v>
      </c>
      <c r="P54" s="60">
        <f t="shared" si="31"/>
        <v>240</v>
      </c>
      <c r="Q54" s="60">
        <f t="shared" si="31"/>
        <v>0</v>
      </c>
      <c r="R54" s="60">
        <f t="shared" si="31"/>
        <v>137.24673650282031</v>
      </c>
      <c r="S54" s="60">
        <f t="shared" si="31"/>
        <v>198</v>
      </c>
      <c r="T54" s="60">
        <f t="shared" si="31"/>
        <v>0</v>
      </c>
      <c r="U54" s="60">
        <f t="shared" si="31"/>
        <v>84</v>
      </c>
      <c r="V54" s="60"/>
      <c r="W54" s="60"/>
      <c r="X54" s="60">
        <f t="shared" si="31"/>
        <v>75</v>
      </c>
      <c r="Y54" s="60">
        <f t="shared" si="31"/>
        <v>141.58904109589039</v>
      </c>
      <c r="Z54" s="60">
        <f t="shared" si="31"/>
        <v>130</v>
      </c>
      <c r="AA54" s="60">
        <f>AA40*60</f>
        <v>57.142857142857139</v>
      </c>
      <c r="AB54" s="60">
        <f t="shared" ref="AB54" si="33">AB40*60</f>
        <v>0</v>
      </c>
      <c r="AC54" s="60">
        <f t="shared" si="31"/>
        <v>142.02739726027397</v>
      </c>
      <c r="AD54" s="60">
        <f t="shared" si="31"/>
        <v>85</v>
      </c>
      <c r="AE54" s="60">
        <f t="shared" si="31"/>
        <v>0</v>
      </c>
      <c r="AF54" s="60">
        <f t="shared" si="31"/>
        <v>165</v>
      </c>
      <c r="AG54" s="60">
        <f t="shared" si="31"/>
        <v>0</v>
      </c>
      <c r="AH54" s="60">
        <f t="shared" si="31"/>
        <v>96.92307692307692</v>
      </c>
      <c r="AI54" s="60">
        <f t="shared" si="31"/>
        <v>54</v>
      </c>
      <c r="AJ54" s="60">
        <f t="shared" ref="AJ54" si="34">AJ40*60</f>
        <v>232.7709911361805</v>
      </c>
      <c r="AK54" s="60"/>
      <c r="AL54" s="60"/>
      <c r="AM54" s="60">
        <f t="shared" ref="AM54:AS54" si="35">AM40*60</f>
        <v>240</v>
      </c>
      <c r="AN54" s="60">
        <f t="shared" si="35"/>
        <v>192.30769230769232</v>
      </c>
      <c r="AO54" s="60">
        <f t="shared" si="35"/>
        <v>85.714285714285722</v>
      </c>
      <c r="AP54" s="60">
        <f t="shared" si="35"/>
        <v>0</v>
      </c>
      <c r="AQ54" s="60">
        <f t="shared" ref="AQ54" si="36">AQ40*60</f>
        <v>57.142857142857139</v>
      </c>
      <c r="AR54" s="60">
        <f t="shared" si="35"/>
        <v>85</v>
      </c>
      <c r="AS54" s="60">
        <f t="shared" si="35"/>
        <v>54</v>
      </c>
      <c r="AT54" s="80">
        <f>AT40*60</f>
        <v>232.7709911361805</v>
      </c>
      <c r="AU54" s="60"/>
      <c r="AX54" s="61">
        <f t="shared" ref="AX54:AX63" si="37">SUMIF(C54:AL54,"&gt;"&amp;0,C54:AL54)</f>
        <v>2722.507988063508</v>
      </c>
      <c r="AY54" s="61">
        <f t="shared" ref="AY54:AY63" si="38">COUNTIF(C54:AL54,"&gt;"&amp;0)</f>
        <v>20</v>
      </c>
      <c r="AZ54" s="61">
        <f t="shared" ref="AZ54:AZ63" si="39">AX54/AY54</f>
        <v>136.12539940317541</v>
      </c>
      <c r="BA54" s="23">
        <f>ROUND(AZ54,-1)</f>
        <v>140</v>
      </c>
      <c r="BB54" s="23">
        <f t="shared" ref="BB54:BB62" si="40">MINif(D54:AT54)</f>
        <v>54</v>
      </c>
      <c r="BC54" s="23">
        <f t="shared" ref="BC54:BC62" si="41">MAX(D54:AK54)</f>
        <v>240</v>
      </c>
    </row>
    <row r="55" spans="2:55" x14ac:dyDescent="0.25">
      <c r="B55" s="5" t="s">
        <v>83</v>
      </c>
      <c r="C55" s="60">
        <f>C41</f>
        <v>10</v>
      </c>
      <c r="D55" s="60">
        <f t="shared" ref="D55:AI55" si="42">D41</f>
        <v>0</v>
      </c>
      <c r="E55" s="60">
        <f t="shared" si="42"/>
        <v>4.5</v>
      </c>
      <c r="F55" s="60">
        <f>F41</f>
        <v>0</v>
      </c>
      <c r="G55" s="60">
        <f>G41</f>
        <v>1.2345679012345678</v>
      </c>
      <c r="H55" s="60">
        <f t="shared" si="42"/>
        <v>0</v>
      </c>
      <c r="I55" s="60">
        <f t="shared" si="42"/>
        <v>0</v>
      </c>
      <c r="J55" s="60">
        <f t="shared" si="42"/>
        <v>0</v>
      </c>
      <c r="K55" s="60">
        <f t="shared" si="42"/>
        <v>5.6360078277886503</v>
      </c>
      <c r="L55" s="60">
        <f t="shared" si="42"/>
        <v>0</v>
      </c>
      <c r="M55" s="60">
        <f t="shared" si="42"/>
        <v>0</v>
      </c>
      <c r="N55" s="60">
        <f t="shared" si="42"/>
        <v>0</v>
      </c>
      <c r="O55" s="60">
        <f t="shared" ref="O55" si="43">O41</f>
        <v>0</v>
      </c>
      <c r="P55" s="60">
        <f t="shared" si="42"/>
        <v>15</v>
      </c>
      <c r="Q55" s="60">
        <f t="shared" si="42"/>
        <v>0</v>
      </c>
      <c r="R55" s="60">
        <f t="shared" si="42"/>
        <v>0.98039215686274506</v>
      </c>
      <c r="S55" s="60">
        <f t="shared" si="42"/>
        <v>4.333333333333333</v>
      </c>
      <c r="T55" s="60">
        <f t="shared" si="42"/>
        <v>0</v>
      </c>
      <c r="U55" s="60">
        <f t="shared" si="42"/>
        <v>12</v>
      </c>
      <c r="V55" s="60"/>
      <c r="W55" s="60"/>
      <c r="X55" s="60">
        <f t="shared" si="42"/>
        <v>10</v>
      </c>
      <c r="Y55" s="60">
        <f t="shared" si="42"/>
        <v>0</v>
      </c>
      <c r="Z55" s="60">
        <f t="shared" si="42"/>
        <v>12.5</v>
      </c>
      <c r="AA55" s="60">
        <f>AA41</f>
        <v>5.2631578947368425</v>
      </c>
      <c r="AB55" s="60">
        <f t="shared" ref="AB55" si="44">AB41</f>
        <v>0</v>
      </c>
      <c r="AC55" s="60">
        <f t="shared" si="42"/>
        <v>9.6</v>
      </c>
      <c r="AD55" s="60">
        <f t="shared" si="42"/>
        <v>10</v>
      </c>
      <c r="AE55" s="60">
        <f t="shared" si="42"/>
        <v>0</v>
      </c>
      <c r="AF55" s="60">
        <f t="shared" si="42"/>
        <v>10</v>
      </c>
      <c r="AG55" s="60">
        <f t="shared" si="42"/>
        <v>0</v>
      </c>
      <c r="AH55" s="60">
        <f t="shared" si="42"/>
        <v>12</v>
      </c>
      <c r="AI55" s="60">
        <f t="shared" si="42"/>
        <v>0</v>
      </c>
      <c r="AJ55" s="60">
        <f t="shared" ref="AJ55" si="45">AJ41</f>
        <v>0</v>
      </c>
      <c r="AK55" s="60"/>
      <c r="AL55" s="60"/>
      <c r="AM55" s="60">
        <f t="shared" ref="AM55:AS55" si="46">AM41</f>
        <v>10</v>
      </c>
      <c r="AN55" s="60">
        <f t="shared" si="46"/>
        <v>0</v>
      </c>
      <c r="AO55" s="60">
        <f t="shared" si="46"/>
        <v>1.1428571428571428</v>
      </c>
      <c r="AP55" s="60">
        <f t="shared" si="46"/>
        <v>0</v>
      </c>
      <c r="AQ55" s="60">
        <f t="shared" ref="AQ55" si="47">AQ41</f>
        <v>5.2631578947368425</v>
      </c>
      <c r="AR55" s="60">
        <f t="shared" si="46"/>
        <v>10</v>
      </c>
      <c r="AS55" s="60">
        <f t="shared" si="46"/>
        <v>0</v>
      </c>
      <c r="AT55" s="80">
        <f>AT41</f>
        <v>0</v>
      </c>
      <c r="AU55" s="60"/>
      <c r="AX55" s="61">
        <f t="shared" si="37"/>
        <v>123.04745911395614</v>
      </c>
      <c r="AY55" s="61">
        <f t="shared" si="38"/>
        <v>15</v>
      </c>
      <c r="AZ55" s="61">
        <f t="shared" si="39"/>
        <v>8.2031639409304091</v>
      </c>
      <c r="BA55" s="23">
        <f t="shared" ref="BA55:BA63" si="48">ROUND(AZ55,-1)</f>
        <v>10</v>
      </c>
      <c r="BB55" s="23">
        <f t="shared" si="40"/>
        <v>0.98040000000000005</v>
      </c>
      <c r="BC55" s="23">
        <f t="shared" si="41"/>
        <v>15</v>
      </c>
    </row>
    <row r="56" spans="2:55" x14ac:dyDescent="0.25">
      <c r="B56" s="5" t="s">
        <v>84</v>
      </c>
      <c r="C56" s="60">
        <f>C42</f>
        <v>2</v>
      </c>
      <c r="D56" s="60">
        <f t="shared" ref="D56:AI56" si="49">D42</f>
        <v>0</v>
      </c>
      <c r="E56" s="60">
        <f t="shared" si="49"/>
        <v>2</v>
      </c>
      <c r="F56" s="60">
        <f>F42</f>
        <v>55</v>
      </c>
      <c r="G56" s="60">
        <f>G42</f>
        <v>0</v>
      </c>
      <c r="H56" s="60">
        <f t="shared" si="49"/>
        <v>3.8461538461538463</v>
      </c>
      <c r="I56" s="60">
        <f t="shared" si="49"/>
        <v>0</v>
      </c>
      <c r="J56" s="60">
        <f t="shared" si="49"/>
        <v>0</v>
      </c>
      <c r="K56" s="60">
        <f t="shared" si="49"/>
        <v>2.8180039138943251</v>
      </c>
      <c r="L56" s="60">
        <f t="shared" si="49"/>
        <v>0</v>
      </c>
      <c r="M56" s="60">
        <f t="shared" si="49"/>
        <v>0</v>
      </c>
      <c r="N56" s="60">
        <f t="shared" si="49"/>
        <v>0</v>
      </c>
      <c r="O56" s="60">
        <f t="shared" ref="O56" si="50">O42</f>
        <v>0</v>
      </c>
      <c r="P56" s="60">
        <f t="shared" si="49"/>
        <v>3</v>
      </c>
      <c r="Q56" s="60">
        <f t="shared" si="49"/>
        <v>0</v>
      </c>
      <c r="R56" s="60">
        <f t="shared" si="49"/>
        <v>1.9607843137254901</v>
      </c>
      <c r="S56" s="60">
        <f t="shared" si="49"/>
        <v>0</v>
      </c>
      <c r="T56" s="60">
        <f t="shared" si="49"/>
        <v>0</v>
      </c>
      <c r="U56" s="60">
        <f t="shared" si="49"/>
        <v>1</v>
      </c>
      <c r="V56" s="60"/>
      <c r="W56" s="60"/>
      <c r="X56" s="60">
        <f t="shared" si="49"/>
        <v>0</v>
      </c>
      <c r="Y56" s="60">
        <f t="shared" si="49"/>
        <v>0</v>
      </c>
      <c r="Z56" s="60">
        <f t="shared" si="49"/>
        <v>2.5</v>
      </c>
      <c r="AA56" s="60">
        <f>AA42</f>
        <v>3.1578947368421053</v>
      </c>
      <c r="AB56" s="60">
        <f t="shared" ref="AB56" si="51">AB42</f>
        <v>21.411666666666665</v>
      </c>
      <c r="AC56" s="60">
        <f t="shared" si="49"/>
        <v>0</v>
      </c>
      <c r="AD56" s="60">
        <f t="shared" si="49"/>
        <v>3</v>
      </c>
      <c r="AE56" s="60">
        <f t="shared" si="49"/>
        <v>0</v>
      </c>
      <c r="AF56" s="60">
        <f t="shared" si="49"/>
        <v>5</v>
      </c>
      <c r="AG56" s="60">
        <f t="shared" si="49"/>
        <v>0</v>
      </c>
      <c r="AH56" s="60">
        <f t="shared" si="49"/>
        <v>1</v>
      </c>
      <c r="AI56" s="60">
        <f t="shared" si="49"/>
        <v>30</v>
      </c>
      <c r="AJ56" s="60">
        <f t="shared" ref="AJ56" si="52">AJ42</f>
        <v>11.698630136986301</v>
      </c>
      <c r="AK56" s="60"/>
      <c r="AL56" s="60"/>
      <c r="AM56" s="60">
        <f t="shared" ref="AM56:AS56" si="53">AM42</f>
        <v>2</v>
      </c>
      <c r="AN56" s="60">
        <f t="shared" si="53"/>
        <v>3.8461538461538463</v>
      </c>
      <c r="AO56" s="60">
        <f t="shared" si="53"/>
        <v>0.5714285714285714</v>
      </c>
      <c r="AP56" s="60">
        <f t="shared" si="53"/>
        <v>0</v>
      </c>
      <c r="AQ56" s="60">
        <f t="shared" ref="AQ56" si="54">AQ42</f>
        <v>3.1578947368421053</v>
      </c>
      <c r="AR56" s="60">
        <f t="shared" si="53"/>
        <v>3</v>
      </c>
      <c r="AS56" s="60">
        <f t="shared" si="53"/>
        <v>30</v>
      </c>
      <c r="AT56" s="80">
        <f>AT42</f>
        <v>0</v>
      </c>
      <c r="AU56" s="60"/>
      <c r="AX56" s="61">
        <f t="shared" si="37"/>
        <v>149.39313361426872</v>
      </c>
      <c r="AY56" s="61">
        <f t="shared" si="38"/>
        <v>16</v>
      </c>
      <c r="AZ56" s="61">
        <f t="shared" si="39"/>
        <v>9.337070850891795</v>
      </c>
      <c r="BA56" s="23">
        <f t="shared" si="48"/>
        <v>10</v>
      </c>
      <c r="BB56" s="23">
        <f t="shared" si="40"/>
        <v>0.57140000000000002</v>
      </c>
      <c r="BC56" s="23">
        <f t="shared" si="41"/>
        <v>55</v>
      </c>
    </row>
    <row r="57" spans="2:55" x14ac:dyDescent="0.25">
      <c r="B57" s="5" t="s">
        <v>131</v>
      </c>
      <c r="C57" s="60">
        <f>C43/(C$12*6)</f>
        <v>3.3333333333333335</v>
      </c>
      <c r="D57" s="60">
        <f t="shared" ref="D57:AI57" si="55">D43/(D$12*6)</f>
        <v>0</v>
      </c>
      <c r="E57" s="60">
        <f t="shared" si="55"/>
        <v>0</v>
      </c>
      <c r="F57" s="60">
        <f>F43/(F$12*6)</f>
        <v>0.22916666666666666</v>
      </c>
      <c r="G57" s="60">
        <f>G43/(G$12*6)</f>
        <v>0</v>
      </c>
      <c r="H57" s="60">
        <f t="shared" si="55"/>
        <v>0</v>
      </c>
      <c r="I57" s="60">
        <f t="shared" si="55"/>
        <v>0</v>
      </c>
      <c r="J57" s="60">
        <f t="shared" si="55"/>
        <v>0</v>
      </c>
      <c r="K57" s="60">
        <f t="shared" si="55"/>
        <v>0</v>
      </c>
      <c r="L57" s="60">
        <f t="shared" si="55"/>
        <v>0</v>
      </c>
      <c r="M57" s="60">
        <f t="shared" si="55"/>
        <v>0</v>
      </c>
      <c r="N57" s="60">
        <f t="shared" si="55"/>
        <v>0</v>
      </c>
      <c r="O57" s="60">
        <f>O43/(O$12*6)</f>
        <v>0</v>
      </c>
      <c r="P57" s="60">
        <f t="shared" si="55"/>
        <v>0</v>
      </c>
      <c r="Q57" s="60">
        <f t="shared" si="55"/>
        <v>0</v>
      </c>
      <c r="R57" s="60">
        <f t="shared" si="55"/>
        <v>0</v>
      </c>
      <c r="S57" s="60">
        <f t="shared" si="55"/>
        <v>0</v>
      </c>
      <c r="T57" s="60">
        <f t="shared" si="55"/>
        <v>0</v>
      </c>
      <c r="U57" s="60">
        <f t="shared" si="55"/>
        <v>0</v>
      </c>
      <c r="V57" s="60"/>
      <c r="W57" s="60"/>
      <c r="X57" s="60">
        <f t="shared" si="55"/>
        <v>0</v>
      </c>
      <c r="Y57" s="60">
        <f t="shared" si="55"/>
        <v>0</v>
      </c>
      <c r="Z57" s="60">
        <f t="shared" si="55"/>
        <v>0</v>
      </c>
      <c r="AA57" s="60">
        <f>AA43/(AA$12*6)</f>
        <v>4.2105263157894735</v>
      </c>
      <c r="AB57" s="60">
        <f>AB43/(AB$12*6)</f>
        <v>0</v>
      </c>
      <c r="AC57" s="60">
        <f t="shared" si="55"/>
        <v>0</v>
      </c>
      <c r="AD57" s="60">
        <f t="shared" si="55"/>
        <v>0</v>
      </c>
      <c r="AE57" s="60">
        <f t="shared" si="55"/>
        <v>0</v>
      </c>
      <c r="AF57" s="60">
        <f t="shared" si="55"/>
        <v>0</v>
      </c>
      <c r="AG57" s="60">
        <f t="shared" si="55"/>
        <v>0</v>
      </c>
      <c r="AH57" s="60">
        <f t="shared" si="55"/>
        <v>0</v>
      </c>
      <c r="AI57" s="60">
        <f t="shared" si="55"/>
        <v>0</v>
      </c>
      <c r="AJ57" s="60">
        <f t="shared" ref="AJ57" si="56">AJ43/(AJ$12*6)</f>
        <v>1.9</v>
      </c>
      <c r="AK57" s="60"/>
      <c r="AL57" s="60"/>
      <c r="AM57" s="60">
        <f t="shared" ref="AM57:AS57" si="57">AM43/(AM$12*6)</f>
        <v>0.83333333333333337</v>
      </c>
      <c r="AN57" s="60">
        <f t="shared" si="57"/>
        <v>0</v>
      </c>
      <c r="AO57" s="60">
        <f t="shared" si="57"/>
        <v>0</v>
      </c>
      <c r="AP57" s="60">
        <f t="shared" si="57"/>
        <v>0</v>
      </c>
      <c r="AQ57" s="60">
        <f>AQ43/(AQ$12*6)</f>
        <v>2.8571428571428572</v>
      </c>
      <c r="AR57" s="60">
        <f t="shared" si="57"/>
        <v>0</v>
      </c>
      <c r="AS57" s="60">
        <f t="shared" si="57"/>
        <v>0</v>
      </c>
      <c r="AT57" s="80">
        <f>AT43/(AT$12*6)</f>
        <v>1.52</v>
      </c>
      <c r="AU57" s="60"/>
      <c r="AX57" s="61">
        <f t="shared" si="37"/>
        <v>9.6730263157894729</v>
      </c>
      <c r="AY57" s="61">
        <f t="shared" si="38"/>
        <v>4</v>
      </c>
      <c r="AZ57" s="61">
        <f t="shared" si="39"/>
        <v>2.4182565789473682</v>
      </c>
      <c r="BA57" s="23">
        <f>ROUND(AZ57*10,0)/10</f>
        <v>2.4</v>
      </c>
      <c r="BB57" s="23">
        <f t="shared" si="40"/>
        <v>0.22919999999999999</v>
      </c>
      <c r="BC57" s="23">
        <f t="shared" si="41"/>
        <v>4.2105263157894735</v>
      </c>
    </row>
    <row r="58" spans="2:55" x14ac:dyDescent="0.25">
      <c r="B58" s="5" t="s">
        <v>132</v>
      </c>
      <c r="C58" s="60">
        <f>C44/(C$12*6)</f>
        <v>16.666666666666668</v>
      </c>
      <c r="D58" s="60">
        <f t="shared" ref="D58:AI58" si="58">D44/(D$12*6)</f>
        <v>0</v>
      </c>
      <c r="E58" s="60">
        <f t="shared" si="58"/>
        <v>12.181818181818182</v>
      </c>
      <c r="F58" s="60">
        <f>F44/(F$12*6)</f>
        <v>0</v>
      </c>
      <c r="G58" s="60">
        <f>G44/(G$12*6)</f>
        <v>7.4074074074074074</v>
      </c>
      <c r="H58" s="60">
        <f t="shared" si="58"/>
        <v>5</v>
      </c>
      <c r="I58" s="60">
        <f t="shared" si="58"/>
        <v>0</v>
      </c>
      <c r="J58" s="60">
        <f t="shared" si="58"/>
        <v>0</v>
      </c>
      <c r="K58" s="60">
        <f t="shared" si="58"/>
        <v>0</v>
      </c>
      <c r="L58" s="60">
        <f t="shared" si="58"/>
        <v>0</v>
      </c>
      <c r="M58" s="60">
        <f t="shared" si="58"/>
        <v>0</v>
      </c>
      <c r="N58" s="60">
        <f t="shared" si="58"/>
        <v>0</v>
      </c>
      <c r="O58" s="60">
        <f>O44/(O$12*6)</f>
        <v>0</v>
      </c>
      <c r="P58" s="60">
        <f t="shared" si="58"/>
        <v>60.833333333333336</v>
      </c>
      <c r="Q58" s="60">
        <f t="shared" si="58"/>
        <v>0</v>
      </c>
      <c r="R58" s="60">
        <f t="shared" si="58"/>
        <v>1.1534025374855825E-2</v>
      </c>
      <c r="S58" s="60">
        <f t="shared" si="58"/>
        <v>0</v>
      </c>
      <c r="T58" s="60">
        <f t="shared" si="58"/>
        <v>0</v>
      </c>
      <c r="U58" s="60">
        <f t="shared" si="58"/>
        <v>0</v>
      </c>
      <c r="V58" s="60"/>
      <c r="W58" s="60"/>
      <c r="X58" s="60">
        <f t="shared" si="58"/>
        <v>0</v>
      </c>
      <c r="Y58" s="60">
        <f t="shared" si="58"/>
        <v>0</v>
      </c>
      <c r="Z58" s="60">
        <f t="shared" si="58"/>
        <v>524.2166666666667</v>
      </c>
      <c r="AA58" s="60">
        <f>AA44/(AA$12*6)</f>
        <v>9.6842105263157894</v>
      </c>
      <c r="AB58" s="60">
        <f>AB44/(AB$12*6)</f>
        <v>0</v>
      </c>
      <c r="AC58" s="60">
        <f t="shared" si="58"/>
        <v>0</v>
      </c>
      <c r="AD58" s="60">
        <f t="shared" si="58"/>
        <v>5.882352941176471</v>
      </c>
      <c r="AE58" s="60">
        <f t="shared" si="58"/>
        <v>0</v>
      </c>
      <c r="AF58" s="60">
        <f t="shared" si="58"/>
        <v>1.8518518518518519</v>
      </c>
      <c r="AG58" s="60">
        <f t="shared" si="58"/>
        <v>0</v>
      </c>
      <c r="AH58" s="60">
        <f t="shared" si="58"/>
        <v>0</v>
      </c>
      <c r="AI58" s="60">
        <f t="shared" si="58"/>
        <v>0</v>
      </c>
      <c r="AJ58" s="60">
        <f t="shared" ref="AJ58" si="59">AJ44/(AJ$12*6)</f>
        <v>14.966666666666667</v>
      </c>
      <c r="AK58" s="60"/>
      <c r="AL58" s="60"/>
      <c r="AM58" s="60">
        <f t="shared" ref="AM58:AS58" si="60">AM44/(AM$12*6)</f>
        <v>4.166666666666667</v>
      </c>
      <c r="AN58" s="60">
        <f t="shared" si="60"/>
        <v>5</v>
      </c>
      <c r="AO58" s="60">
        <f t="shared" si="60"/>
        <v>0</v>
      </c>
      <c r="AP58" s="60">
        <f t="shared" si="60"/>
        <v>0</v>
      </c>
      <c r="AQ58" s="60">
        <f>AQ44/(AQ$12*6)</f>
        <v>6.5714285714285712</v>
      </c>
      <c r="AR58" s="60">
        <f t="shared" si="60"/>
        <v>5</v>
      </c>
      <c r="AS58" s="60">
        <f t="shared" si="60"/>
        <v>0</v>
      </c>
      <c r="AT58" s="80">
        <f>AT44/(AT$12*6)</f>
        <v>11.973333333333333</v>
      </c>
      <c r="AU58" s="60"/>
      <c r="AX58" s="61">
        <f t="shared" si="37"/>
        <v>658.70250826727795</v>
      </c>
      <c r="AY58" s="61">
        <f t="shared" si="38"/>
        <v>11</v>
      </c>
      <c r="AZ58" s="61">
        <f t="shared" si="39"/>
        <v>59.882046206116179</v>
      </c>
      <c r="BA58" s="23">
        <f t="shared" si="48"/>
        <v>60</v>
      </c>
      <c r="BB58" s="23">
        <f t="shared" si="40"/>
        <v>1.15E-2</v>
      </c>
      <c r="BC58" s="23">
        <f t="shared" si="41"/>
        <v>524.2166666666667</v>
      </c>
    </row>
    <row r="59" spans="2:55" x14ac:dyDescent="0.25">
      <c r="B59" s="5" t="s">
        <v>133</v>
      </c>
      <c r="C59" s="60">
        <f>C45*60</f>
        <v>30</v>
      </c>
      <c r="D59" s="60">
        <f t="shared" ref="D59:AI59" si="61">D45*60</f>
        <v>0</v>
      </c>
      <c r="E59" s="60">
        <f t="shared" si="61"/>
        <v>10</v>
      </c>
      <c r="F59" s="60">
        <f>F45*60</f>
        <v>0</v>
      </c>
      <c r="G59" s="60">
        <f>G45*60</f>
        <v>9.1324200913241995</v>
      </c>
      <c r="H59" s="60">
        <f t="shared" si="61"/>
        <v>25.769230769230766</v>
      </c>
      <c r="I59" s="60">
        <f t="shared" si="61"/>
        <v>0</v>
      </c>
      <c r="J59" s="60">
        <f t="shared" si="61"/>
        <v>0</v>
      </c>
      <c r="K59" s="60">
        <f t="shared" si="61"/>
        <v>34.285714285714285</v>
      </c>
      <c r="L59" s="60">
        <f t="shared" si="61"/>
        <v>0</v>
      </c>
      <c r="M59" s="60">
        <f t="shared" si="61"/>
        <v>0</v>
      </c>
      <c r="N59" s="60">
        <f t="shared" si="61"/>
        <v>0</v>
      </c>
      <c r="O59" s="60">
        <f t="shared" ref="O59" si="62">O45*60</f>
        <v>0</v>
      </c>
      <c r="P59" s="60">
        <f t="shared" si="61"/>
        <v>11</v>
      </c>
      <c r="Q59" s="60">
        <f t="shared" si="61"/>
        <v>0</v>
      </c>
      <c r="R59" s="60">
        <f t="shared" si="61"/>
        <v>235.29411764705881</v>
      </c>
      <c r="S59" s="60">
        <f t="shared" si="61"/>
        <v>15</v>
      </c>
      <c r="T59" s="60">
        <f t="shared" si="61"/>
        <v>0</v>
      </c>
      <c r="U59" s="60">
        <f t="shared" si="61"/>
        <v>1.5</v>
      </c>
      <c r="V59" s="60"/>
      <c r="W59" s="60"/>
      <c r="X59" s="60">
        <f t="shared" si="61"/>
        <v>12</v>
      </c>
      <c r="Y59" s="60">
        <f t="shared" si="61"/>
        <v>0</v>
      </c>
      <c r="Z59" s="60">
        <f t="shared" si="61"/>
        <v>6.5</v>
      </c>
      <c r="AA59" s="60">
        <f>AA45*60</f>
        <v>27.368421052631579</v>
      </c>
      <c r="AB59" s="60">
        <f t="shared" ref="AB59" si="63">AB45*60</f>
        <v>0</v>
      </c>
      <c r="AC59" s="60">
        <f t="shared" si="61"/>
        <v>12</v>
      </c>
      <c r="AD59" s="60">
        <f t="shared" si="61"/>
        <v>0</v>
      </c>
      <c r="AE59" s="60">
        <f t="shared" si="61"/>
        <v>0</v>
      </c>
      <c r="AF59" s="60">
        <f t="shared" si="61"/>
        <v>32.38095238095238</v>
      </c>
      <c r="AG59" s="60">
        <f t="shared" si="61"/>
        <v>0</v>
      </c>
      <c r="AH59" s="60">
        <f t="shared" si="61"/>
        <v>1.7307692307692308</v>
      </c>
      <c r="AI59" s="60">
        <f t="shared" si="61"/>
        <v>42</v>
      </c>
      <c r="AJ59" s="60">
        <f t="shared" ref="AJ59" si="64">AJ45*60</f>
        <v>6.7687348912167611</v>
      </c>
      <c r="AK59" s="60"/>
      <c r="AL59" s="60"/>
      <c r="AM59" s="60">
        <f t="shared" ref="AM59:AS59" si="65">AM45*60</f>
        <v>30</v>
      </c>
      <c r="AN59" s="60">
        <f t="shared" si="65"/>
        <v>25.769230769230766</v>
      </c>
      <c r="AO59" s="60">
        <f t="shared" si="65"/>
        <v>34.285714285714285</v>
      </c>
      <c r="AP59" s="60">
        <f t="shared" si="65"/>
        <v>0</v>
      </c>
      <c r="AQ59" s="60">
        <f t="shared" ref="AQ59" si="66">AQ45*60</f>
        <v>27.368421052631579</v>
      </c>
      <c r="AR59" s="60">
        <f t="shared" si="65"/>
        <v>0</v>
      </c>
      <c r="AS59" s="60">
        <f t="shared" si="65"/>
        <v>42</v>
      </c>
      <c r="AT59" s="80">
        <f>AT45*60</f>
        <v>6.7687348912167611</v>
      </c>
      <c r="AU59" s="60"/>
      <c r="AX59" s="61">
        <f t="shared" si="37"/>
        <v>512.73036034889799</v>
      </c>
      <c r="AY59" s="61">
        <f t="shared" si="38"/>
        <v>17</v>
      </c>
      <c r="AZ59" s="61">
        <f t="shared" si="39"/>
        <v>30.160609432288116</v>
      </c>
      <c r="BA59" s="23">
        <f t="shared" si="48"/>
        <v>30</v>
      </c>
      <c r="BB59" s="23">
        <f t="shared" si="40"/>
        <v>1.5</v>
      </c>
      <c r="BC59" s="23">
        <f t="shared" si="41"/>
        <v>235.29411764705881</v>
      </c>
    </row>
    <row r="60" spans="2:55" x14ac:dyDescent="0.25">
      <c r="B60" s="5" t="s">
        <v>134</v>
      </c>
      <c r="C60" s="60">
        <f>C46/(C$12*6)</f>
        <v>6.666666666666667</v>
      </c>
      <c r="D60" s="60">
        <f t="shared" ref="D60:AI60" si="67">D46/(D$12*6)</f>
        <v>0</v>
      </c>
      <c r="E60" s="60">
        <f t="shared" si="67"/>
        <v>20.704545454545453</v>
      </c>
      <c r="F60" s="60">
        <f t="shared" ref="F60:G62" si="68">F46/(F$12*6)</f>
        <v>60</v>
      </c>
      <c r="G60" s="60">
        <f t="shared" si="68"/>
        <v>0</v>
      </c>
      <c r="H60" s="60">
        <f t="shared" si="67"/>
        <v>67.692307692307693</v>
      </c>
      <c r="I60" s="60">
        <f t="shared" si="67"/>
        <v>0</v>
      </c>
      <c r="J60" s="60">
        <f t="shared" si="67"/>
        <v>0</v>
      </c>
      <c r="K60" s="60">
        <f t="shared" si="67"/>
        <v>0</v>
      </c>
      <c r="L60" s="60">
        <f t="shared" si="67"/>
        <v>0</v>
      </c>
      <c r="M60" s="60">
        <f t="shared" si="67"/>
        <v>0</v>
      </c>
      <c r="N60" s="60">
        <f t="shared" si="67"/>
        <v>0</v>
      </c>
      <c r="O60" s="60">
        <f>O46/(O$12*6)</f>
        <v>0</v>
      </c>
      <c r="P60" s="60">
        <f t="shared" si="67"/>
        <v>121.66666666666667</v>
      </c>
      <c r="Q60" s="60">
        <f t="shared" si="67"/>
        <v>0</v>
      </c>
      <c r="R60" s="60">
        <f t="shared" si="67"/>
        <v>0</v>
      </c>
      <c r="S60" s="60">
        <f t="shared" si="67"/>
        <v>0</v>
      </c>
      <c r="T60" s="60">
        <f t="shared" si="67"/>
        <v>0</v>
      </c>
      <c r="U60" s="60">
        <f t="shared" si="67"/>
        <v>0</v>
      </c>
      <c r="V60" s="60"/>
      <c r="W60" s="60"/>
      <c r="X60" s="60">
        <f t="shared" si="67"/>
        <v>0</v>
      </c>
      <c r="Y60" s="60">
        <f t="shared" si="67"/>
        <v>0</v>
      </c>
      <c r="Z60" s="60">
        <f t="shared" si="67"/>
        <v>0</v>
      </c>
      <c r="AA60" s="60">
        <f t="shared" ref="AA60:AB62" si="69">AA46/(AA$12*6)</f>
        <v>21.05263157894737</v>
      </c>
      <c r="AB60" s="60">
        <f t="shared" si="69"/>
        <v>0</v>
      </c>
      <c r="AC60" s="60">
        <f t="shared" si="67"/>
        <v>0</v>
      </c>
      <c r="AD60" s="60">
        <f t="shared" si="67"/>
        <v>0</v>
      </c>
      <c r="AE60" s="60">
        <f t="shared" si="67"/>
        <v>0</v>
      </c>
      <c r="AF60" s="60">
        <f t="shared" si="67"/>
        <v>0</v>
      </c>
      <c r="AG60" s="60">
        <f t="shared" si="67"/>
        <v>0</v>
      </c>
      <c r="AH60" s="60">
        <f t="shared" si="67"/>
        <v>0</v>
      </c>
      <c r="AI60" s="60">
        <f t="shared" si="67"/>
        <v>64</v>
      </c>
      <c r="AJ60" s="60">
        <f t="shared" ref="AJ60" si="70">AJ46/(AJ$12*6)</f>
        <v>0</v>
      </c>
      <c r="AK60" s="60"/>
      <c r="AL60" s="60"/>
      <c r="AM60" s="60">
        <f t="shared" ref="AM60:AS60" si="71">AM46/(AM$12*6)</f>
        <v>1.6666666666666667</v>
      </c>
      <c r="AN60" s="60">
        <f t="shared" si="71"/>
        <v>67.692307692307693</v>
      </c>
      <c r="AO60" s="60">
        <f t="shared" si="71"/>
        <v>0</v>
      </c>
      <c r="AP60" s="60">
        <f t="shared" si="71"/>
        <v>0</v>
      </c>
      <c r="AQ60" s="60">
        <f>AQ46/(AQ$12*6)</f>
        <v>14.285714285714286</v>
      </c>
      <c r="AR60" s="60">
        <f t="shared" si="71"/>
        <v>0</v>
      </c>
      <c r="AS60" s="60">
        <f t="shared" si="71"/>
        <v>53.333333333333336</v>
      </c>
      <c r="AT60" s="80">
        <f>AT46/(AT$12*6)</f>
        <v>0</v>
      </c>
      <c r="AU60" s="60"/>
      <c r="AX60" s="61">
        <f t="shared" si="37"/>
        <v>361.78281805913389</v>
      </c>
      <c r="AY60" s="61">
        <f t="shared" si="38"/>
        <v>7</v>
      </c>
      <c r="AZ60" s="61">
        <f t="shared" si="39"/>
        <v>51.683259722733411</v>
      </c>
      <c r="BA60" s="23">
        <f t="shared" si="48"/>
        <v>50</v>
      </c>
      <c r="BB60" s="23">
        <f t="shared" si="40"/>
        <v>1.6667000000000001</v>
      </c>
      <c r="BC60" s="23">
        <f t="shared" si="41"/>
        <v>121.66666666666667</v>
      </c>
    </row>
    <row r="61" spans="2:55" x14ac:dyDescent="0.25">
      <c r="B61" s="5" t="s">
        <v>135</v>
      </c>
      <c r="C61" s="60">
        <f>C47/(C$12*6)</f>
        <v>3.3333333333333335</v>
      </c>
      <c r="D61" s="60">
        <f t="shared" ref="D61:AI61" si="72">D47/(D$12*6)</f>
        <v>0</v>
      </c>
      <c r="E61" s="60">
        <f t="shared" si="72"/>
        <v>1.1363636363636365</v>
      </c>
      <c r="F61" s="60">
        <f t="shared" si="68"/>
        <v>0</v>
      </c>
      <c r="G61" s="60">
        <f t="shared" si="68"/>
        <v>1.728395061728395</v>
      </c>
      <c r="H61" s="60">
        <f t="shared" si="72"/>
        <v>7.6923076923076925</v>
      </c>
      <c r="I61" s="60">
        <f t="shared" si="72"/>
        <v>0</v>
      </c>
      <c r="J61" s="60">
        <f t="shared" si="72"/>
        <v>0</v>
      </c>
      <c r="K61" s="60">
        <f t="shared" si="72"/>
        <v>0</v>
      </c>
      <c r="L61" s="60">
        <f t="shared" si="72"/>
        <v>0</v>
      </c>
      <c r="M61" s="60">
        <f t="shared" si="72"/>
        <v>0</v>
      </c>
      <c r="N61" s="60">
        <f t="shared" si="72"/>
        <v>0</v>
      </c>
      <c r="O61" s="60">
        <f>O47/(O$12*6)</f>
        <v>0</v>
      </c>
      <c r="P61" s="60">
        <f t="shared" si="72"/>
        <v>60.833333333333336</v>
      </c>
      <c r="Q61" s="60">
        <f t="shared" si="72"/>
        <v>0</v>
      </c>
      <c r="R61" s="60">
        <f t="shared" si="72"/>
        <v>7.6893502499038834E-4</v>
      </c>
      <c r="S61" s="60">
        <f t="shared" si="72"/>
        <v>0</v>
      </c>
      <c r="T61" s="60">
        <f t="shared" si="72"/>
        <v>0</v>
      </c>
      <c r="U61" s="60">
        <f t="shared" si="72"/>
        <v>0</v>
      </c>
      <c r="V61" s="60"/>
      <c r="W61" s="60"/>
      <c r="X61" s="60">
        <f t="shared" si="72"/>
        <v>0</v>
      </c>
      <c r="Y61" s="60">
        <f t="shared" si="72"/>
        <v>0</v>
      </c>
      <c r="Z61" s="60">
        <f t="shared" si="72"/>
        <v>11.25</v>
      </c>
      <c r="AA61" s="60">
        <f t="shared" si="69"/>
        <v>1.7543859649122806</v>
      </c>
      <c r="AB61" s="60">
        <f t="shared" si="69"/>
        <v>0</v>
      </c>
      <c r="AC61" s="60">
        <f t="shared" si="72"/>
        <v>0</v>
      </c>
      <c r="AD61" s="60">
        <f t="shared" si="72"/>
        <v>3</v>
      </c>
      <c r="AE61" s="60">
        <f t="shared" si="72"/>
        <v>0</v>
      </c>
      <c r="AF61" s="60">
        <f t="shared" si="72"/>
        <v>1.8518518518518519</v>
      </c>
      <c r="AG61" s="60">
        <f t="shared" si="72"/>
        <v>0</v>
      </c>
      <c r="AH61" s="60">
        <f t="shared" si="72"/>
        <v>0</v>
      </c>
      <c r="AI61" s="60">
        <f t="shared" si="72"/>
        <v>1.6666666666666667</v>
      </c>
      <c r="AJ61" s="60">
        <f t="shared" ref="AJ61" si="73">AJ47/(AJ$12*6)</f>
        <v>0.1388888888888889</v>
      </c>
      <c r="AK61" s="60"/>
      <c r="AL61" s="60"/>
      <c r="AM61" s="60">
        <f t="shared" ref="AM61:AS61" si="74">AM47/(AM$12*6)</f>
        <v>0.83333333333333337</v>
      </c>
      <c r="AN61" s="60">
        <f t="shared" si="74"/>
        <v>7.6923076923076925</v>
      </c>
      <c r="AO61" s="60">
        <f t="shared" si="74"/>
        <v>0</v>
      </c>
      <c r="AP61" s="60">
        <f t="shared" si="74"/>
        <v>0</v>
      </c>
      <c r="AQ61" s="60">
        <f>AQ47/(AQ$12*6)</f>
        <v>1.1904761904761905</v>
      </c>
      <c r="AR61" s="60">
        <f t="shared" si="74"/>
        <v>2.5499999999999998</v>
      </c>
      <c r="AS61" s="60">
        <f t="shared" si="74"/>
        <v>1.3888888888888888</v>
      </c>
      <c r="AT61" s="80">
        <f>AT47/(AT$12*6)</f>
        <v>0.1111111111111111</v>
      </c>
      <c r="AU61" s="60"/>
      <c r="AX61" s="61">
        <f t="shared" si="37"/>
        <v>94.386295364411069</v>
      </c>
      <c r="AY61" s="61">
        <f t="shared" si="38"/>
        <v>12</v>
      </c>
      <c r="AZ61" s="61">
        <f t="shared" si="39"/>
        <v>7.8655246137009227</v>
      </c>
      <c r="BA61" s="23">
        <f t="shared" si="48"/>
        <v>10</v>
      </c>
      <c r="BB61" s="23">
        <f t="shared" si="40"/>
        <v>8.0000000000000004E-4</v>
      </c>
      <c r="BC61" s="23">
        <f t="shared" si="41"/>
        <v>60.833333333333336</v>
      </c>
    </row>
    <row r="62" spans="2:55" x14ac:dyDescent="0.25">
      <c r="B62" s="5" t="s">
        <v>136</v>
      </c>
      <c r="C62" s="60">
        <f>C48/(C$12*6)</f>
        <v>0</v>
      </c>
      <c r="D62" s="60">
        <f t="shared" ref="D62:AI62" si="75">D48/(D$12*6)</f>
        <v>0</v>
      </c>
      <c r="E62" s="60">
        <f t="shared" si="75"/>
        <v>0</v>
      </c>
      <c r="F62" s="60">
        <f t="shared" si="68"/>
        <v>0</v>
      </c>
      <c r="G62" s="60">
        <f t="shared" si="68"/>
        <v>0</v>
      </c>
      <c r="H62" s="60">
        <f t="shared" si="75"/>
        <v>0.38461538461538464</v>
      </c>
      <c r="I62" s="60">
        <f t="shared" si="75"/>
        <v>0</v>
      </c>
      <c r="J62" s="60">
        <f t="shared" si="75"/>
        <v>0</v>
      </c>
      <c r="K62" s="60">
        <f t="shared" si="75"/>
        <v>0</v>
      </c>
      <c r="L62" s="60">
        <f t="shared" si="75"/>
        <v>0</v>
      </c>
      <c r="M62" s="60">
        <f t="shared" si="75"/>
        <v>0</v>
      </c>
      <c r="N62" s="60">
        <f t="shared" si="75"/>
        <v>0</v>
      </c>
      <c r="O62" s="60">
        <f>O48/(O$12*6)</f>
        <v>0</v>
      </c>
      <c r="P62" s="60">
        <f t="shared" si="75"/>
        <v>0</v>
      </c>
      <c r="Q62" s="60">
        <f t="shared" si="75"/>
        <v>0</v>
      </c>
      <c r="R62" s="60">
        <f t="shared" si="75"/>
        <v>0</v>
      </c>
      <c r="S62" s="60">
        <f t="shared" si="75"/>
        <v>0</v>
      </c>
      <c r="T62" s="60">
        <f t="shared" si="75"/>
        <v>0</v>
      </c>
      <c r="U62" s="60">
        <f t="shared" si="75"/>
        <v>2</v>
      </c>
      <c r="V62" s="60"/>
      <c r="W62" s="60"/>
      <c r="X62" s="60">
        <f t="shared" si="75"/>
        <v>0</v>
      </c>
      <c r="Y62" s="60">
        <f t="shared" si="75"/>
        <v>0</v>
      </c>
      <c r="Z62" s="60">
        <f t="shared" si="75"/>
        <v>1.25</v>
      </c>
      <c r="AA62" s="60">
        <f t="shared" si="69"/>
        <v>304.16666666666669</v>
      </c>
      <c r="AB62" s="60">
        <f t="shared" si="69"/>
        <v>0</v>
      </c>
      <c r="AC62" s="60">
        <f t="shared" si="75"/>
        <v>0</v>
      </c>
      <c r="AD62" s="60">
        <f t="shared" si="75"/>
        <v>0</v>
      </c>
      <c r="AE62" s="60">
        <f t="shared" si="75"/>
        <v>0</v>
      </c>
      <c r="AF62" s="60">
        <f t="shared" si="75"/>
        <v>10</v>
      </c>
      <c r="AG62" s="60">
        <f t="shared" si="75"/>
        <v>0</v>
      </c>
      <c r="AH62" s="60">
        <f t="shared" si="75"/>
        <v>204.08602150537635</v>
      </c>
      <c r="AI62" s="60">
        <f t="shared" si="75"/>
        <v>0</v>
      </c>
      <c r="AJ62" s="60">
        <f t="shared" ref="AJ62" si="76">AJ48/(AJ$12*6)</f>
        <v>0</v>
      </c>
      <c r="AK62" s="60"/>
      <c r="AL62" s="60"/>
      <c r="AM62" s="60">
        <f t="shared" ref="AM62:AS62" si="77">AM48/(AM$12*6)</f>
        <v>0</v>
      </c>
      <c r="AN62" s="60">
        <f t="shared" si="77"/>
        <v>0.38461538461538464</v>
      </c>
      <c r="AO62" s="60">
        <f t="shared" si="77"/>
        <v>0</v>
      </c>
      <c r="AP62" s="60">
        <f t="shared" si="77"/>
        <v>0</v>
      </c>
      <c r="AQ62" s="60">
        <f>AQ48/(AQ$12*6)</f>
        <v>206.39880952380952</v>
      </c>
      <c r="AR62" s="60">
        <f t="shared" si="77"/>
        <v>0</v>
      </c>
      <c r="AS62" s="60">
        <f t="shared" si="77"/>
        <v>0</v>
      </c>
      <c r="AT62" s="80">
        <f>AT48/(AT$12*6)</f>
        <v>0</v>
      </c>
      <c r="AU62" s="60"/>
      <c r="AX62" s="61">
        <f t="shared" si="37"/>
        <v>521.88730355665837</v>
      </c>
      <c r="AY62" s="61">
        <f t="shared" si="38"/>
        <v>6</v>
      </c>
      <c r="AZ62" s="61">
        <f t="shared" si="39"/>
        <v>86.981217259443056</v>
      </c>
      <c r="BA62" s="23">
        <f t="shared" si="48"/>
        <v>90</v>
      </c>
      <c r="BB62" s="23">
        <f t="shared" si="40"/>
        <v>0.3846</v>
      </c>
      <c r="BC62" s="23">
        <f t="shared" si="41"/>
        <v>304.16666666666669</v>
      </c>
    </row>
    <row r="63" spans="2:55" x14ac:dyDescent="0.25">
      <c r="B63" s="5" t="s">
        <v>137</v>
      </c>
      <c r="C63" s="60">
        <f>SUM(C54:C62)</f>
        <v>312</v>
      </c>
      <c r="D63" s="60">
        <f t="shared" ref="D63:AI63" si="78">SUM(D54:D62)</f>
        <v>0</v>
      </c>
      <c r="E63" s="60">
        <f t="shared" si="78"/>
        <v>135.52272727272725</v>
      </c>
      <c r="F63" s="60">
        <f>SUM(F54:F62)</f>
        <v>115.22916666666666</v>
      </c>
      <c r="G63" s="60">
        <f>SUM(G54:G62)</f>
        <v>169.74936580416036</v>
      </c>
      <c r="H63" s="60">
        <f t="shared" si="78"/>
        <v>302.69230769230768</v>
      </c>
      <c r="I63" s="60">
        <f t="shared" si="78"/>
        <v>0</v>
      </c>
      <c r="J63" s="60">
        <f t="shared" si="78"/>
        <v>130.53933463796477</v>
      </c>
      <c r="K63" s="60">
        <f t="shared" si="78"/>
        <v>128.45401174168299</v>
      </c>
      <c r="L63" s="60">
        <f t="shared" si="78"/>
        <v>0</v>
      </c>
      <c r="M63" s="60">
        <f t="shared" si="78"/>
        <v>0</v>
      </c>
      <c r="N63" s="60">
        <f t="shared" si="78"/>
        <v>0</v>
      </c>
      <c r="O63" s="60">
        <f t="shared" ref="O63" si="79">SUM(O54:O62)</f>
        <v>0</v>
      </c>
      <c r="P63" s="60">
        <f t="shared" si="78"/>
        <v>512.33333333333337</v>
      </c>
      <c r="Q63" s="60">
        <f t="shared" si="78"/>
        <v>0</v>
      </c>
      <c r="R63" s="60">
        <f t="shared" si="78"/>
        <v>375.49433358086719</v>
      </c>
      <c r="S63" s="60">
        <f t="shared" si="78"/>
        <v>217.33333333333334</v>
      </c>
      <c r="T63" s="60">
        <f t="shared" si="78"/>
        <v>0</v>
      </c>
      <c r="U63" s="60">
        <f t="shared" si="78"/>
        <v>100.5</v>
      </c>
      <c r="V63" s="60"/>
      <c r="W63" s="60"/>
      <c r="X63" s="60">
        <f t="shared" si="78"/>
        <v>97</v>
      </c>
      <c r="Y63" s="60">
        <f t="shared" si="78"/>
        <v>141.58904109589039</v>
      </c>
      <c r="Z63" s="60">
        <f t="shared" si="78"/>
        <v>688.2166666666667</v>
      </c>
      <c r="AA63" s="60">
        <f>SUM(AA54:AA62)</f>
        <v>433.80075187969931</v>
      </c>
      <c r="AB63" s="60">
        <f t="shared" ref="AB63" si="80">SUM(AB54:AB62)</f>
        <v>21.411666666666665</v>
      </c>
      <c r="AC63" s="60">
        <f t="shared" si="78"/>
        <v>163.62739726027397</v>
      </c>
      <c r="AD63" s="60">
        <f t="shared" si="78"/>
        <v>106.88235294117646</v>
      </c>
      <c r="AE63" s="60">
        <f t="shared" si="78"/>
        <v>0</v>
      </c>
      <c r="AF63" s="60">
        <f t="shared" si="78"/>
        <v>226.08465608465607</v>
      </c>
      <c r="AG63" s="60">
        <f t="shared" si="78"/>
        <v>0</v>
      </c>
      <c r="AH63" s="60">
        <f t="shared" si="78"/>
        <v>315.73986765922251</v>
      </c>
      <c r="AI63" s="60">
        <f t="shared" si="78"/>
        <v>191.66666666666666</v>
      </c>
      <c r="AJ63" s="60">
        <f t="shared" ref="AJ63" si="81">SUM(AJ54:AJ62)</f>
        <v>268.24391171993915</v>
      </c>
      <c r="AK63" s="60"/>
      <c r="AL63" s="60"/>
      <c r="AM63" s="60">
        <f t="shared" ref="AM63" si="82">SUM(AM54:AM62)</f>
        <v>289.5</v>
      </c>
      <c r="AN63" s="60">
        <f t="shared" ref="AN63" si="83">SUM(AN54:AN62)</f>
        <v>302.69230769230768</v>
      </c>
      <c r="AO63" s="60">
        <f t="shared" ref="AO63" si="84">SUM(AO54:AO62)</f>
        <v>121.71428571428572</v>
      </c>
      <c r="AP63" s="60">
        <f t="shared" ref="AP63" si="85">SUM(AP54:AP62)</f>
        <v>0</v>
      </c>
      <c r="AQ63" s="60">
        <f t="shared" ref="AQ63" si="86">SUM(AQ54:AQ62)</f>
        <v>324.23590225563908</v>
      </c>
      <c r="AR63" s="60">
        <f t="shared" ref="AR63" si="87">SUM(AR54:AR62)</f>
        <v>105.55</v>
      </c>
      <c r="AS63" s="60">
        <f t="shared" ref="AS63" si="88">SUM(AS54:AS62)</f>
        <v>180.72222222222223</v>
      </c>
      <c r="AT63" s="80">
        <f>SUM(AT54:AT62)</f>
        <v>253.1441704718417</v>
      </c>
      <c r="AU63" s="60"/>
      <c r="AX63" s="61">
        <f t="shared" si="37"/>
        <v>5154.1108927039022</v>
      </c>
      <c r="AY63" s="61">
        <f t="shared" si="38"/>
        <v>22</v>
      </c>
      <c r="AZ63" s="61">
        <f t="shared" si="39"/>
        <v>234.27776785017738</v>
      </c>
      <c r="BA63" s="23">
        <f t="shared" si="48"/>
        <v>230</v>
      </c>
    </row>
    <row r="64" spans="2:55" ht="45" x14ac:dyDescent="0.25">
      <c r="B64" s="7" t="s">
        <v>30</v>
      </c>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35"/>
      <c r="AN64" s="35"/>
      <c r="AO64" s="35"/>
      <c r="AP64" s="35"/>
      <c r="AQ64" s="10"/>
      <c r="AR64" s="49"/>
      <c r="AS64" s="49"/>
      <c r="AT64" s="49"/>
      <c r="AU64" s="10"/>
      <c r="AV64">
        <f>INDEX(C64:AU64,0,$AV$4)</f>
        <v>0</v>
      </c>
    </row>
    <row r="65" spans="1:55" s="40" customFormat="1" ht="45" x14ac:dyDescent="0.25">
      <c r="A65" s="64">
        <v>46</v>
      </c>
      <c r="B65" s="41" t="s">
        <v>29</v>
      </c>
      <c r="C65" s="42">
        <v>0.1</v>
      </c>
      <c r="D65" s="44"/>
      <c r="E65" s="42">
        <v>0.05</v>
      </c>
      <c r="F65" s="42"/>
      <c r="G65" s="42"/>
      <c r="H65" s="42"/>
      <c r="I65" s="45"/>
      <c r="J65" s="45"/>
      <c r="K65" s="45"/>
      <c r="L65" s="42">
        <v>2.1250000000000002E-2</v>
      </c>
      <c r="M65" s="42"/>
      <c r="N65" s="42">
        <v>4.1000000000000002E-2</v>
      </c>
      <c r="O65" s="42">
        <v>3.5000000000000003E-2</v>
      </c>
      <c r="P65" s="45"/>
      <c r="Q65" s="42"/>
      <c r="R65" s="42">
        <v>0.05</v>
      </c>
      <c r="S65" s="42">
        <v>0.03</v>
      </c>
      <c r="T65" s="42"/>
      <c r="U65" s="42">
        <v>0.05</v>
      </c>
      <c r="V65" s="42"/>
      <c r="W65" s="42">
        <v>0.04</v>
      </c>
      <c r="X65" s="42"/>
      <c r="Y65" s="42"/>
      <c r="Z65" s="42">
        <v>6.2E-2</v>
      </c>
      <c r="AA65" s="42">
        <v>0.05</v>
      </c>
      <c r="AB65" s="42">
        <v>0.05</v>
      </c>
      <c r="AC65" s="42">
        <v>5.5E-2</v>
      </c>
      <c r="AD65" s="42"/>
      <c r="AE65" s="42"/>
      <c r="AF65" s="42"/>
      <c r="AG65" s="42">
        <v>5.5E-2</v>
      </c>
      <c r="AH65" s="42">
        <v>0.05</v>
      </c>
      <c r="AI65" s="42">
        <v>0.06</v>
      </c>
      <c r="AJ65" s="42"/>
      <c r="AK65" s="42"/>
      <c r="AL65" s="42"/>
      <c r="AM65" s="43">
        <v>0.1</v>
      </c>
      <c r="AN65" s="43"/>
      <c r="AO65" s="43"/>
      <c r="AP65" s="43"/>
      <c r="AQ65" s="42"/>
      <c r="AR65" s="51">
        <f>$AX$65</f>
        <v>0.79925000000000024</v>
      </c>
      <c r="AS65" s="51">
        <v>0.06</v>
      </c>
      <c r="AT65" s="51">
        <v>4.4999999999999998E-2</v>
      </c>
      <c r="AU65" s="42"/>
      <c r="AV65" s="40">
        <f>INDEX(C65:AU65,0,$AV$4)</f>
        <v>0.04</v>
      </c>
      <c r="AX65" s="61">
        <f>SUMIF(C65:AL65,"&gt;"&amp;0,C65:AL65)</f>
        <v>0.79925000000000024</v>
      </c>
      <c r="AY65" s="61">
        <f>COUNTIF(C65:AL65,"&gt;"&amp;0)</f>
        <v>16</v>
      </c>
      <c r="AZ65" s="27">
        <f t="shared" ref="AZ65" si="89">AX65/AY65</f>
        <v>4.9953125000000015E-2</v>
      </c>
      <c r="BA65" s="27">
        <f>MIN(C65:AJ65)</f>
        <v>2.1250000000000002E-2</v>
      </c>
      <c r="BB65" s="27">
        <f>MAX(C65:AJ65)</f>
        <v>0.1</v>
      </c>
    </row>
    <row r="66" spans="1:55" x14ac:dyDescent="0.25">
      <c r="AE66" s="52" t="s">
        <v>107</v>
      </c>
    </row>
    <row r="67" spans="1:55" x14ac:dyDescent="0.25">
      <c r="B67" t="s">
        <v>245</v>
      </c>
      <c r="C67">
        <f>C12/C13</f>
        <v>50</v>
      </c>
      <c r="D67">
        <f t="shared" ref="D67:AT67" si="90">D12/D13</f>
        <v>10</v>
      </c>
      <c r="E67">
        <f t="shared" si="90"/>
        <v>22</v>
      </c>
      <c r="F67">
        <f t="shared" si="90"/>
        <v>40</v>
      </c>
      <c r="G67">
        <f t="shared" si="90"/>
        <v>27</v>
      </c>
      <c r="H67">
        <f t="shared" si="90"/>
        <v>26</v>
      </c>
      <c r="I67">
        <f t="shared" si="90"/>
        <v>30</v>
      </c>
      <c r="J67">
        <f t="shared" si="90"/>
        <v>35</v>
      </c>
      <c r="K67">
        <f t="shared" si="90"/>
        <v>25</v>
      </c>
      <c r="L67">
        <f t="shared" si="90"/>
        <v>7</v>
      </c>
      <c r="M67">
        <f t="shared" si="90"/>
        <v>24</v>
      </c>
      <c r="N67">
        <f t="shared" si="90"/>
        <v>48</v>
      </c>
      <c r="O67">
        <f t="shared" si="90"/>
        <v>37.5</v>
      </c>
      <c r="P67">
        <f t="shared" si="90"/>
        <v>50</v>
      </c>
      <c r="Q67">
        <f t="shared" si="90"/>
        <v>15</v>
      </c>
      <c r="R67">
        <f t="shared" si="90"/>
        <v>85</v>
      </c>
      <c r="S67">
        <f t="shared" si="90"/>
        <v>27</v>
      </c>
      <c r="T67">
        <f t="shared" si="90"/>
        <v>36</v>
      </c>
      <c r="U67">
        <f t="shared" si="90"/>
        <v>26</v>
      </c>
      <c r="X67">
        <f t="shared" si="90"/>
        <v>40</v>
      </c>
      <c r="Y67">
        <f t="shared" si="90"/>
        <v>45</v>
      </c>
      <c r="Z67">
        <f t="shared" si="90"/>
        <v>40</v>
      </c>
      <c r="AA67">
        <f t="shared" si="90"/>
        <v>47.5</v>
      </c>
      <c r="AB67">
        <f t="shared" si="90"/>
        <v>50</v>
      </c>
      <c r="AC67">
        <f t="shared" si="90"/>
        <v>25</v>
      </c>
      <c r="AD67">
        <f t="shared" si="90"/>
        <v>34</v>
      </c>
      <c r="AE67">
        <f t="shared" si="90"/>
        <v>50</v>
      </c>
      <c r="AF67">
        <f t="shared" si="90"/>
        <v>18</v>
      </c>
      <c r="AG67">
        <f t="shared" si="90"/>
        <v>25</v>
      </c>
      <c r="AH67">
        <f t="shared" si="90"/>
        <v>31</v>
      </c>
      <c r="AI67">
        <f t="shared" si="90"/>
        <v>50</v>
      </c>
      <c r="AJ67">
        <f t="shared" si="90"/>
        <v>40</v>
      </c>
      <c r="AM67">
        <f t="shared" si="90"/>
        <v>50</v>
      </c>
      <c r="AN67">
        <f t="shared" si="90"/>
        <v>26</v>
      </c>
      <c r="AO67">
        <f t="shared" si="90"/>
        <v>40</v>
      </c>
      <c r="AP67">
        <f t="shared" si="90"/>
        <v>45</v>
      </c>
      <c r="AR67">
        <f t="shared" si="90"/>
        <v>40</v>
      </c>
      <c r="AS67">
        <f t="shared" si="90"/>
        <v>60</v>
      </c>
      <c r="AT67">
        <f t="shared" si="90"/>
        <v>50</v>
      </c>
      <c r="AX67" s="61">
        <f>SUMIF(C67:AL67,"&gt;"&amp;0,C67:AL67)</f>
        <v>1116</v>
      </c>
      <c r="AY67" s="61">
        <f>COUNTIF(C67:AL67,"&gt;"&amp;0)</f>
        <v>32</v>
      </c>
      <c r="AZ67" s="61">
        <f t="shared" ref="AZ67" si="91">AX67/AY67</f>
        <v>34.875</v>
      </c>
      <c r="BA67">
        <f>MIN(C67:AJ67)</f>
        <v>7</v>
      </c>
      <c r="BB67">
        <f>MAX(C67:AJ67)</f>
        <v>85</v>
      </c>
    </row>
    <row r="72" spans="1:55" x14ac:dyDescent="0.25">
      <c r="BC72">
        <f t="array" ref="BC72:BC113">TRANSPOSE(C4:AT4)</f>
        <v>1</v>
      </c>
    </row>
    <row r="73" spans="1:55" x14ac:dyDescent="0.25">
      <c r="BC73">
        <v>3</v>
      </c>
    </row>
    <row r="74" spans="1:55" x14ac:dyDescent="0.25">
      <c r="BC74">
        <v>4</v>
      </c>
    </row>
    <row r="75" spans="1:55" x14ac:dyDescent="0.25">
      <c r="BC75">
        <v>33</v>
      </c>
    </row>
    <row r="76" spans="1:55" x14ac:dyDescent="0.25">
      <c r="BC76">
        <v>34</v>
      </c>
    </row>
    <row r="77" spans="1:55" x14ac:dyDescent="0.25">
      <c r="BC77">
        <v>5</v>
      </c>
    </row>
    <row r="78" spans="1:55" x14ac:dyDescent="0.25">
      <c r="BC78">
        <v>7</v>
      </c>
    </row>
    <row r="79" spans="1:55" x14ac:dyDescent="0.25">
      <c r="BC79">
        <v>8</v>
      </c>
    </row>
    <row r="80" spans="1:55" x14ac:dyDescent="0.25">
      <c r="BC80">
        <v>9</v>
      </c>
    </row>
    <row r="81" spans="55:55" x14ac:dyDescent="0.25">
      <c r="BC81">
        <v>11</v>
      </c>
    </row>
    <row r="82" spans="55:55" x14ac:dyDescent="0.25">
      <c r="BC82">
        <v>12</v>
      </c>
    </row>
    <row r="83" spans="55:55" x14ac:dyDescent="0.25">
      <c r="BC83">
        <v>14</v>
      </c>
    </row>
    <row r="84" spans="55:55" x14ac:dyDescent="0.25">
      <c r="BC84">
        <v>35</v>
      </c>
    </row>
    <row r="85" spans="55:55" x14ac:dyDescent="0.25">
      <c r="BC85">
        <v>15</v>
      </c>
    </row>
    <row r="86" spans="55:55" x14ac:dyDescent="0.25">
      <c r="BC86">
        <v>16</v>
      </c>
    </row>
    <row r="87" spans="55:55" x14ac:dyDescent="0.25">
      <c r="BC87">
        <v>17</v>
      </c>
    </row>
    <row r="88" spans="55:55" x14ac:dyDescent="0.25">
      <c r="BC88">
        <v>18</v>
      </c>
    </row>
    <row r="89" spans="55:55" x14ac:dyDescent="0.25">
      <c r="BC89">
        <v>19</v>
      </c>
    </row>
    <row r="90" spans="55:55" x14ac:dyDescent="0.25">
      <c r="BC90">
        <v>20</v>
      </c>
    </row>
    <row r="91" spans="55:55" x14ac:dyDescent="0.25">
      <c r="BC91">
        <v>39</v>
      </c>
    </row>
    <row r="92" spans="55:55" x14ac:dyDescent="0.25">
      <c r="BC92">
        <v>40</v>
      </c>
    </row>
    <row r="93" spans="55:55" x14ac:dyDescent="0.25">
      <c r="BC93">
        <v>21</v>
      </c>
    </row>
    <row r="94" spans="55:55" x14ac:dyDescent="0.25">
      <c r="BC94">
        <v>22</v>
      </c>
    </row>
    <row r="95" spans="55:55" x14ac:dyDescent="0.25">
      <c r="BC95">
        <v>23</v>
      </c>
    </row>
    <row r="96" spans="55:55" x14ac:dyDescent="0.25">
      <c r="BC96">
        <v>41</v>
      </c>
    </row>
    <row r="97" spans="55:55" x14ac:dyDescent="0.25">
      <c r="BC97">
        <v>43</v>
      </c>
    </row>
    <row r="98" spans="55:55" x14ac:dyDescent="0.25">
      <c r="BC98">
        <v>24</v>
      </c>
    </row>
    <row r="99" spans="55:55" x14ac:dyDescent="0.25">
      <c r="BC99">
        <v>25</v>
      </c>
    </row>
    <row r="100" spans="55:55" x14ac:dyDescent="0.25">
      <c r="BC100">
        <v>27</v>
      </c>
    </row>
    <row r="101" spans="55:55" x14ac:dyDescent="0.25">
      <c r="BC101">
        <v>28</v>
      </c>
    </row>
    <row r="102" spans="55:55" x14ac:dyDescent="0.25">
      <c r="BC102">
        <v>29</v>
      </c>
    </row>
    <row r="103" spans="55:55" x14ac:dyDescent="0.25">
      <c r="BC103">
        <v>30</v>
      </c>
    </row>
    <row r="104" spans="55:55" x14ac:dyDescent="0.25">
      <c r="BC104">
        <v>31</v>
      </c>
    </row>
    <row r="105" spans="55:55" x14ac:dyDescent="0.25">
      <c r="BC105">
        <v>36</v>
      </c>
    </row>
    <row r="106" spans="55:55" x14ac:dyDescent="0.25">
      <c r="BC106">
        <v>38</v>
      </c>
    </row>
    <row r="107" spans="55:55" x14ac:dyDescent="0.25">
      <c r="BC107">
        <v>44</v>
      </c>
    </row>
    <row r="108" spans="55:55" x14ac:dyDescent="0.25">
      <c r="BC108">
        <v>2</v>
      </c>
    </row>
    <row r="109" spans="55:55" x14ac:dyDescent="0.25">
      <c r="BC109">
        <v>6</v>
      </c>
    </row>
    <row r="110" spans="55:55" x14ac:dyDescent="0.25">
      <c r="BC110">
        <v>10</v>
      </c>
    </row>
    <row r="111" spans="55:55" x14ac:dyDescent="0.25">
      <c r="BC111">
        <v>13</v>
      </c>
    </row>
    <row r="112" spans="55:55" x14ac:dyDescent="0.25">
      <c r="BC112">
        <v>42</v>
      </c>
    </row>
    <row r="113" spans="55:55" x14ac:dyDescent="0.25">
      <c r="BC113">
        <v>26</v>
      </c>
    </row>
  </sheetData>
  <mergeCells count="1">
    <mergeCell ref="AV2:AV3"/>
  </mergeCells>
  <pageMargins left="0.45" right="0.45" top="0.25" bottom="0.25" header="0.3" footer="0.3"/>
  <pageSetup scale="87" fitToHeight="3"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 id="{1FFA1A5C-01AD-426B-AA38-237CFE64A9C0}">
            <xm:f>C6=Budget!$H$3</xm:f>
            <x14:dxf>
              <fill>
                <patternFill>
                  <bgColor theme="0"/>
                </patternFill>
              </fill>
            </x14:dxf>
          </x14:cfRule>
          <xm:sqref>C6:AT6</xm:sqref>
        </x14:conditionalFormatting>
        <x14:conditionalFormatting xmlns:xm="http://schemas.microsoft.com/office/excel/2006/main">
          <x14:cfRule type="expression" priority="1" id="{111567B0-CD53-4238-8AF0-0193263C24F7}">
            <xm:f>C7=Budget!$H$5</xm:f>
            <x14:dxf>
              <fill>
                <patternFill>
                  <bgColor theme="0"/>
                </patternFill>
              </fill>
            </x14:dxf>
          </x14:cfRule>
          <xm:sqref>C7:AT7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V66"/>
  <sheetViews>
    <sheetView workbookViewId="0">
      <pane xSplit="2" ySplit="5" topLeftCell="AQ6" activePane="bottomRight" state="frozen"/>
      <selection pane="topRight" activeCell="C1" sqref="C1"/>
      <selection pane="bottomLeft" activeCell="A6" sqref="A6"/>
      <selection pane="bottomRight" activeCell="AV7" sqref="AV7"/>
    </sheetView>
  </sheetViews>
  <sheetFormatPr defaultRowHeight="15" x14ac:dyDescent="0.25"/>
  <cols>
    <col min="1" max="1" width="5.42578125" customWidth="1"/>
    <col min="2" max="2" width="63.7109375" customWidth="1"/>
    <col min="3" max="3" width="18.28515625" customWidth="1"/>
    <col min="4" max="4" width="14.28515625" style="32" customWidth="1"/>
    <col min="5" max="7" width="11.7109375" customWidth="1"/>
    <col min="8" max="8" width="11.7109375" style="32" customWidth="1"/>
    <col min="9" max="11" width="11.7109375" customWidth="1"/>
    <col min="12" max="12" width="11.7109375" style="32" customWidth="1"/>
    <col min="13" max="14" width="11.7109375" customWidth="1"/>
    <col min="15" max="15" width="11.7109375" style="32" customWidth="1"/>
    <col min="16" max="27" width="11.7109375" customWidth="1"/>
    <col min="28" max="28" width="11.7109375" style="46" customWidth="1"/>
    <col min="29" max="33" width="11.7109375" customWidth="1"/>
    <col min="34" max="46" width="11.7109375" style="46" customWidth="1"/>
    <col min="47" max="47" width="11.7109375" customWidth="1"/>
  </cols>
  <sheetData>
    <row r="1" spans="1:48" x14ac:dyDescent="0.25">
      <c r="A1" t="s">
        <v>146</v>
      </c>
    </row>
    <row r="2" spans="1:48" x14ac:dyDescent="0.25">
      <c r="A2" t="s">
        <v>0</v>
      </c>
      <c r="AV2" s="109"/>
    </row>
    <row r="3" spans="1:48" x14ac:dyDescent="0.25">
      <c r="B3" t="s">
        <v>1</v>
      </c>
      <c r="C3" t="s">
        <v>2</v>
      </c>
      <c r="AV3" s="109"/>
    </row>
    <row r="4" spans="1:48" x14ac:dyDescent="0.25">
      <c r="B4" t="s">
        <v>148</v>
      </c>
      <c r="C4" s="28">
        <v>1</v>
      </c>
      <c r="D4" s="32">
        <v>2</v>
      </c>
      <c r="E4">
        <v>3</v>
      </c>
      <c r="F4">
        <v>4</v>
      </c>
      <c r="G4">
        <v>5</v>
      </c>
      <c r="H4" s="32">
        <v>6</v>
      </c>
      <c r="I4">
        <v>7</v>
      </c>
      <c r="J4">
        <v>8</v>
      </c>
      <c r="K4">
        <v>9</v>
      </c>
      <c r="L4" s="32">
        <v>10</v>
      </c>
      <c r="M4">
        <v>11</v>
      </c>
      <c r="N4">
        <v>12</v>
      </c>
      <c r="O4" s="32">
        <v>13</v>
      </c>
      <c r="P4">
        <v>14</v>
      </c>
      <c r="Q4">
        <v>15</v>
      </c>
      <c r="R4">
        <v>16</v>
      </c>
      <c r="S4">
        <v>17</v>
      </c>
      <c r="T4">
        <v>18</v>
      </c>
      <c r="U4">
        <v>19</v>
      </c>
      <c r="V4">
        <v>20</v>
      </c>
      <c r="W4">
        <v>21</v>
      </c>
      <c r="X4">
        <v>22</v>
      </c>
      <c r="Y4">
        <v>23</v>
      </c>
      <c r="Z4">
        <v>24</v>
      </c>
      <c r="AA4">
        <v>25</v>
      </c>
      <c r="AB4" s="46">
        <v>26</v>
      </c>
      <c r="AC4">
        <v>27</v>
      </c>
      <c r="AD4">
        <v>28</v>
      </c>
      <c r="AE4">
        <v>29</v>
      </c>
      <c r="AF4">
        <v>30</v>
      </c>
      <c r="AG4">
        <v>31</v>
      </c>
      <c r="AH4" s="46">
        <v>32</v>
      </c>
      <c r="AI4">
        <v>33</v>
      </c>
      <c r="AJ4">
        <v>34</v>
      </c>
      <c r="AK4">
        <v>35</v>
      </c>
      <c r="AL4">
        <v>36</v>
      </c>
      <c r="AM4" s="46">
        <v>37</v>
      </c>
      <c r="AN4">
        <v>38</v>
      </c>
      <c r="AO4">
        <v>39</v>
      </c>
      <c r="AP4">
        <v>40</v>
      </c>
      <c r="AQ4">
        <v>41</v>
      </c>
      <c r="AR4">
        <v>42</v>
      </c>
      <c r="AS4">
        <v>43</v>
      </c>
      <c r="AT4">
        <v>44</v>
      </c>
      <c r="AV4">
        <f>Budget!B12</f>
        <v>21</v>
      </c>
    </row>
    <row r="5" spans="1:48" x14ac:dyDescent="0.25">
      <c r="A5">
        <v>1</v>
      </c>
      <c r="B5" s="1" t="s">
        <v>3</v>
      </c>
      <c r="C5" s="2">
        <v>1</v>
      </c>
      <c r="D5" s="33" t="s">
        <v>76</v>
      </c>
      <c r="E5" s="29">
        <v>2</v>
      </c>
      <c r="F5" s="29">
        <v>4</v>
      </c>
      <c r="G5" s="29">
        <v>8</v>
      </c>
      <c r="H5" s="33" t="s">
        <v>87</v>
      </c>
      <c r="I5" s="29">
        <v>9</v>
      </c>
      <c r="J5" s="29">
        <v>10</v>
      </c>
      <c r="K5" s="29">
        <v>11</v>
      </c>
      <c r="L5" s="33" t="s">
        <v>94</v>
      </c>
      <c r="M5" s="29">
        <v>12</v>
      </c>
      <c r="N5" s="29">
        <v>13</v>
      </c>
      <c r="O5" s="33" t="s">
        <v>95</v>
      </c>
      <c r="P5" s="29">
        <v>17</v>
      </c>
      <c r="Q5" s="29">
        <v>21</v>
      </c>
      <c r="R5" s="29">
        <v>24</v>
      </c>
      <c r="S5" s="29">
        <v>25</v>
      </c>
      <c r="T5" s="29">
        <v>26</v>
      </c>
      <c r="U5" s="29">
        <v>29</v>
      </c>
      <c r="V5" s="29">
        <v>30</v>
      </c>
      <c r="W5" s="29">
        <v>37</v>
      </c>
      <c r="X5" s="29">
        <v>38</v>
      </c>
      <c r="Y5" s="29">
        <v>39</v>
      </c>
      <c r="Z5" s="29">
        <v>43</v>
      </c>
      <c r="AA5" s="29">
        <v>45</v>
      </c>
      <c r="AB5" s="47" t="s">
        <v>104</v>
      </c>
      <c r="AC5" s="29">
        <v>46</v>
      </c>
      <c r="AD5" s="29">
        <v>52</v>
      </c>
      <c r="AE5" s="29">
        <v>58</v>
      </c>
      <c r="AF5" s="29">
        <v>59</v>
      </c>
      <c r="AG5" s="29">
        <v>61</v>
      </c>
      <c r="AH5" s="47" t="s">
        <v>112</v>
      </c>
      <c r="AI5" s="29">
        <v>5</v>
      </c>
      <c r="AJ5" s="29">
        <v>6</v>
      </c>
      <c r="AK5" s="29">
        <v>19</v>
      </c>
      <c r="AL5" s="29">
        <v>62</v>
      </c>
      <c r="AM5" s="47" t="s">
        <v>157</v>
      </c>
      <c r="AN5" s="29">
        <v>63</v>
      </c>
      <c r="AO5" s="29">
        <v>32</v>
      </c>
      <c r="AP5" s="29">
        <v>33</v>
      </c>
      <c r="AQ5" s="29">
        <v>40</v>
      </c>
      <c r="AR5" s="29" t="s">
        <v>163</v>
      </c>
      <c r="AS5" s="29">
        <v>41</v>
      </c>
      <c r="AT5" s="29"/>
      <c r="AU5" s="29"/>
      <c r="AV5">
        <f>INDEX(C5:AU5,0,$AV$4)</f>
        <v>37</v>
      </c>
    </row>
    <row r="6" spans="1:48" x14ac:dyDescent="0.25">
      <c r="A6">
        <v>2</v>
      </c>
      <c r="B6" s="1" t="s">
        <v>164</v>
      </c>
      <c r="C6">
        <f>IF(INDEX(Data_as_is!$C6:$AU6,0,C$4)&gt;0,INDEX(Data_as_is!$C6:$AU6,0,C$4),Budget!$H$3)</f>
        <v>51</v>
      </c>
      <c r="D6">
        <f>IF(INDEX(Data_as_is!$C6:$AU6,0,D$4)&gt;0,INDEX(Data_as_is!$C6:$AU6,0,D$4),Budget!$H$3)</f>
        <v>55</v>
      </c>
      <c r="E6">
        <f>IF(INDEX(Data_as_is!$C6:$AU6,0,E$4)&gt;0,INDEX(Data_as_is!$C6:$AU6,0,E$4),Budget!$H$3)</f>
        <v>55</v>
      </c>
      <c r="F6">
        <f>IF(INDEX(Data_as_is!$C6:$AU6,0,F$4)&gt;0,INDEX(Data_as_is!$C6:$AU6,0,F$4),Budget!$H$3)</f>
        <v>55</v>
      </c>
      <c r="G6">
        <f>IF(INDEX(Data_as_is!$C6:$AU6,0,G$4)&gt;0,INDEX(Data_as_is!$C6:$AU6,0,G$4),Budget!$H$3)</f>
        <v>55</v>
      </c>
      <c r="H6">
        <f>IF(INDEX(Data_as_is!$C6:$AU6,0,H$4)&gt;0,INDEX(Data_as_is!$C6:$AU6,0,H$4),Budget!$H$3)</f>
        <v>55</v>
      </c>
      <c r="I6">
        <f>IF(INDEX(Data_as_is!$C6:$AU6,0,I$4)&gt;0,INDEX(Data_as_is!$C6:$AU6,0,I$4),Budget!$H$3)</f>
        <v>55</v>
      </c>
      <c r="J6">
        <f>IF(INDEX(Data_as_is!$C6:$AU6,0,J$4)&gt;0,INDEX(Data_as_is!$C6:$AU6,0,J$4),Budget!$H$3)</f>
        <v>55</v>
      </c>
      <c r="K6">
        <f>IF(INDEX(Data_as_is!$C6:$AU6,0,K$4)&gt;0,INDEX(Data_as_is!$C6:$AU6,0,K$4),Budget!$H$3)</f>
        <v>55</v>
      </c>
      <c r="L6">
        <f>IF(INDEX(Data_as_is!$C6:$AU6,0,L$4)&gt;0,INDEX(Data_as_is!$C6:$AU6,0,L$4),Budget!$H$3)</f>
        <v>55</v>
      </c>
      <c r="M6">
        <f>IF(INDEX(Data_as_is!$C6:$AU6,0,M$4)&gt;0,INDEX(Data_as_is!$C6:$AU6,0,M$4),Budget!$H$3)</f>
        <v>55</v>
      </c>
      <c r="N6">
        <f>IF(INDEX(Data_as_is!$C6:$AU6,0,N$4)&gt;0,INDEX(Data_as_is!$C6:$AU6,0,N$4),Budget!$H$3)</f>
        <v>55</v>
      </c>
      <c r="O6">
        <f>IF(INDEX(Data_as_is!$C6:$AU6,0,O$4)&gt;0,INDEX(Data_as_is!$C6:$AU6,0,O$4),Budget!$H$3)</f>
        <v>55</v>
      </c>
      <c r="P6">
        <f>IF(INDEX(Data_as_is!$C6:$AU6,0,P$4)&gt;0,INDEX(Data_as_is!$C6:$AU6,0,P$4),Budget!$H$3)</f>
        <v>55</v>
      </c>
      <c r="Q6">
        <f>IF(INDEX(Data_as_is!$C6:$AU6,0,Q$4)&gt;0,INDEX(Data_as_is!$C6:$AU6,0,Q$4),Budget!$H$3)</f>
        <v>55</v>
      </c>
      <c r="R6">
        <f>IF(INDEX(Data_as_is!$C6:$AU6,0,R$4)&gt;0,INDEX(Data_as_is!$C6:$AU6,0,R$4),Budget!$H$3)</f>
        <v>55</v>
      </c>
      <c r="S6">
        <f>IF(INDEX(Data_as_is!$C6:$AU6,0,S$4)&gt;0,INDEX(Data_as_is!$C6:$AU6,0,S$4),Budget!$H$3)</f>
        <v>55</v>
      </c>
      <c r="T6">
        <f>IF(INDEX(Data_as_is!$C6:$AU6,0,T$4)&gt;0,INDEX(Data_as_is!$C6:$AU6,0,T$4),Budget!$H$3)</f>
        <v>55</v>
      </c>
      <c r="U6">
        <f>IF(INDEX(Data_as_is!$C6:$AU6,0,U$4)&gt;0,INDEX(Data_as_is!$C6:$AU6,0,U$4),Budget!$H$3)</f>
        <v>55</v>
      </c>
      <c r="V6">
        <f>IF(INDEX(Data_as_is!$C6:$AU6,0,V$4)&gt;0,INDEX(Data_as_is!$C6:$AU6,0,V$4),Budget!$H$3)</f>
        <v>55</v>
      </c>
      <c r="W6">
        <f>IF(INDEX(Data_as_is!$C6:$AU6,0,W$4)&gt;0,INDEX(Data_as_is!$C6:$AU6,0,W$4),Budget!$H$3)</f>
        <v>55</v>
      </c>
      <c r="X6">
        <f>IF(INDEX(Data_as_is!$C6:$AU6,0,X$4)&gt;0,INDEX(Data_as_is!$C6:$AU6,0,X$4),Budget!$H$3)</f>
        <v>55</v>
      </c>
      <c r="Y6">
        <f>IF(INDEX(Data_as_is!$C6:$AU6,0,Y$4)&gt;0,INDEX(Data_as_is!$C6:$AU6,0,Y$4),Budget!$H$3)</f>
        <v>55</v>
      </c>
      <c r="Z6">
        <f>IF(INDEX(Data_as_is!$C6:$AU6,0,Z$4)&gt;0,INDEX(Data_as_is!$C6:$AU6,0,Z$4),Budget!$H$3)</f>
        <v>55</v>
      </c>
      <c r="AA6">
        <f>IF(INDEX(Data_as_is!$C6:$AU6,0,AA$4)&gt;0,INDEX(Data_as_is!$C6:$AU6,0,AA$4),Budget!$H$3)</f>
        <v>55</v>
      </c>
      <c r="AB6">
        <f>IF(INDEX(Data_as_is!$C6:$AU6,0,AB$4)&gt;0,INDEX(Data_as_is!$C6:$AU6,0,AB$4),Budget!$H$3)</f>
        <v>55</v>
      </c>
      <c r="AC6">
        <f>IF(INDEX(Data_as_is!$C6:$AU6,0,AC$4)&gt;0,INDEX(Data_as_is!$C6:$AU6,0,AC$4),Budget!$H$3)</f>
        <v>55</v>
      </c>
      <c r="AD6">
        <f>IF(INDEX(Data_as_is!$C6:$AU6,0,AD$4)&gt;0,INDEX(Data_as_is!$C6:$AU6,0,AD$4),Budget!$H$3)</f>
        <v>55</v>
      </c>
      <c r="AE6">
        <f>IF(INDEX(Data_as_is!$C6:$AU6,0,AE$4)&gt;0,INDEX(Data_as_is!$C6:$AU6,0,AE$4),Budget!$H$3)</f>
        <v>55</v>
      </c>
      <c r="AF6">
        <f>IF(INDEX(Data_as_is!$C6:$AU6,0,AF$4)&gt;0,INDEX(Data_as_is!$C6:$AU6,0,AF$4),Budget!$H$3)</f>
        <v>55</v>
      </c>
      <c r="AG6">
        <f>IF(INDEX(Data_as_is!$C6:$AU6,0,AG$4)&gt;0,INDEX(Data_as_is!$C6:$AU6,0,AG$4),Budget!$H$3)</f>
        <v>55</v>
      </c>
      <c r="AH6">
        <f>IF(INDEX(Data_as_is!$C6:$AU6,0,AH$4)&gt;0,INDEX(Data_as_is!$C6:$AU6,0,AH$4),Budget!$H$3)</f>
        <v>52</v>
      </c>
      <c r="AI6">
        <f>IF(INDEX(Data_as_is!$C6:$AU6,0,AI$4)&gt;0,INDEX(Data_as_is!$C6:$AU6,0,AI$4),Budget!$H$3)</f>
        <v>55</v>
      </c>
      <c r="AJ6">
        <f>IF(INDEX(Data_as_is!$C6:$AU6,0,AJ$4)&gt;0,INDEX(Data_as_is!$C6:$AU6,0,AJ$4),Budget!$H$3)</f>
        <v>55</v>
      </c>
      <c r="AK6">
        <f>IF(INDEX(Data_as_is!$C6:$AU6,0,AK$4)&gt;0,INDEX(Data_as_is!$C6:$AU6,0,AK$4),Budget!$H$3)</f>
        <v>55</v>
      </c>
      <c r="AL6">
        <f>IF(INDEX(Data_as_is!$C6:$AU6,0,AL$4)&gt;0,INDEX(Data_as_is!$C6:$AU6,0,AL$4),Budget!$H$3)</f>
        <v>55</v>
      </c>
      <c r="AM6">
        <f>IF(INDEX(Data_as_is!$C6:$AU6,0,AM$4)&gt;0,INDEX(Data_as_is!$C6:$AU6,0,AM$4),Budget!$H$3)</f>
        <v>55</v>
      </c>
      <c r="AN6">
        <f>IF(INDEX(Data_as_is!$C6:$AU6,0,AN$4)&gt;0,INDEX(Data_as_is!$C6:$AU6,0,AN$4),Budget!$H$3)</f>
        <v>55</v>
      </c>
      <c r="AO6">
        <f>IF(INDEX(Data_as_is!$C6:$AU6,0,AO$4)&gt;0,INDEX(Data_as_is!$C6:$AU6,0,AO$4),Budget!$H$3)</f>
        <v>55</v>
      </c>
      <c r="AP6">
        <f>IF(INDEX(Data_as_is!$C6:$AU6,0,AP$4)&gt;0,INDEX(Data_as_is!$C6:$AU6,0,AP$4),Budget!$H$3)</f>
        <v>55</v>
      </c>
      <c r="AQ6">
        <f>IF(INDEX(Data_as_is!$C6:$AU6,0,AQ$4)&gt;0,INDEX(Data_as_is!$C6:$AU6,0,AQ$4),Budget!$H$3)</f>
        <v>55</v>
      </c>
      <c r="AR6">
        <f>IF(INDEX(Data_as_is!$C6:$AU6,0,AR$4)&gt;0,INDEX(Data_as_is!$C6:$AU6,0,AR$4),Budget!$H$3)</f>
        <v>55</v>
      </c>
      <c r="AS6">
        <f>IF(INDEX(Data_as_is!$C6:$AU6,0,AS$4)&gt;0,INDEX(Data_as_is!$C6:$AU6,0,AS$4),Budget!$H$3)</f>
        <v>55</v>
      </c>
      <c r="AT6">
        <f>IF(INDEX(Data_as_is!$C6:$AU6,0,AT$4)&gt;0,INDEX(Data_as_is!$C6:$AU6,0,AT$4),Budget!$H$3)</f>
        <v>55</v>
      </c>
      <c r="AU6" s="2"/>
      <c r="AV6">
        <f t="shared" ref="AV6:AV7" si="0">INDEX(C6:AU6,0,$AV$4)</f>
        <v>55</v>
      </c>
    </row>
    <row r="7" spans="1:48" x14ac:dyDescent="0.25">
      <c r="B7" s="3" t="s">
        <v>165</v>
      </c>
      <c r="C7">
        <f>IF(INDEX(Data_as_is!$C7:$AU7,0,C$4)&gt;0,INDEX(Data_as_is!$C7:$AU7,0,C$4),Budget!$H$5)</f>
        <v>59</v>
      </c>
      <c r="D7">
        <f>IF(INDEX(Data_as_is!$C7:$AU7,0,D$4)&gt;0,INDEX(Data_as_is!$C7:$AU7,0,D$4),Budget!$H$5)</f>
        <v>60</v>
      </c>
      <c r="E7">
        <f>IF(INDEX(Data_as_is!$C7:$AU7,0,E$4)&gt;0,INDEX(Data_as_is!$C7:$AU7,0,E$4),Budget!$H$5)</f>
        <v>60</v>
      </c>
      <c r="F7">
        <f>IF(INDEX(Data_as_is!$C7:$AU7,0,F$4)&gt;0,INDEX(Data_as_is!$C7:$AU7,0,F$4),Budget!$H$5)</f>
        <v>60</v>
      </c>
      <c r="G7">
        <f>IF(INDEX(Data_as_is!$C7:$AU7,0,G$4)&gt;0,INDEX(Data_as_is!$C7:$AU7,0,G$4),Budget!$H$5)</f>
        <v>60</v>
      </c>
      <c r="H7">
        <f>IF(INDEX(Data_as_is!$C7:$AU7,0,H$4)&gt;0,INDEX(Data_as_is!$C7:$AU7,0,H$4),Budget!$H$5)</f>
        <v>60</v>
      </c>
      <c r="I7">
        <f>IF(INDEX(Data_as_is!$C7:$AU7,0,I$4)&gt;0,INDEX(Data_as_is!$C7:$AU7,0,I$4),Budget!$H$5)</f>
        <v>60</v>
      </c>
      <c r="J7">
        <f>IF(INDEX(Data_as_is!$C7:$AU7,0,J$4)&gt;0,INDEX(Data_as_is!$C7:$AU7,0,J$4),Budget!$H$5)</f>
        <v>60</v>
      </c>
      <c r="K7">
        <f>IF(INDEX(Data_as_is!$C7:$AU7,0,K$4)&gt;0,INDEX(Data_as_is!$C7:$AU7,0,K$4),Budget!$H$5)</f>
        <v>60</v>
      </c>
      <c r="L7">
        <f>IF(INDEX(Data_as_is!$C7:$AU7,0,L$4)&gt;0,INDEX(Data_as_is!$C7:$AU7,0,L$4),Budget!$H$5)</f>
        <v>60</v>
      </c>
      <c r="M7">
        <f>IF(INDEX(Data_as_is!$C7:$AU7,0,M$4)&gt;0,INDEX(Data_as_is!$C7:$AU7,0,M$4),Budget!$H$5)</f>
        <v>60</v>
      </c>
      <c r="N7">
        <f>IF(INDEX(Data_as_is!$C7:$AU7,0,N$4)&gt;0,INDEX(Data_as_is!$C7:$AU7,0,N$4),Budget!$H$5)</f>
        <v>60</v>
      </c>
      <c r="O7">
        <f>IF(INDEX(Data_as_is!$C7:$AU7,0,O$4)&gt;0,INDEX(Data_as_is!$C7:$AU7,0,O$4),Budget!$H$5)</f>
        <v>60</v>
      </c>
      <c r="P7">
        <f>IF(INDEX(Data_as_is!$C7:$AU7,0,P$4)&gt;0,INDEX(Data_as_is!$C7:$AU7,0,P$4),Budget!$H$5)</f>
        <v>60</v>
      </c>
      <c r="Q7">
        <f>IF(INDEX(Data_as_is!$C7:$AU7,0,Q$4)&gt;0,INDEX(Data_as_is!$C7:$AU7,0,Q$4),Budget!$H$5)</f>
        <v>60</v>
      </c>
      <c r="R7">
        <f>IF(INDEX(Data_as_is!$C7:$AU7,0,R$4)&gt;0,INDEX(Data_as_is!$C7:$AU7,0,R$4),Budget!$H$5)</f>
        <v>60</v>
      </c>
      <c r="S7">
        <f>IF(INDEX(Data_as_is!$C7:$AU7,0,S$4)&gt;0,INDEX(Data_as_is!$C7:$AU7,0,S$4),Budget!$H$5)</f>
        <v>60</v>
      </c>
      <c r="T7">
        <f>IF(INDEX(Data_as_is!$C7:$AU7,0,T$4)&gt;0,INDEX(Data_as_is!$C7:$AU7,0,T$4),Budget!$H$5)</f>
        <v>60</v>
      </c>
      <c r="U7">
        <f>IF(INDEX(Data_as_is!$C7:$AU7,0,U$4)&gt;0,INDEX(Data_as_is!$C7:$AU7,0,U$4),Budget!$H$5)</f>
        <v>60</v>
      </c>
      <c r="V7">
        <f>IF(INDEX(Data_as_is!$C7:$AU7,0,V$4)&gt;0,INDEX(Data_as_is!$C7:$AU7,0,V$4),Budget!$H$5)</f>
        <v>60</v>
      </c>
      <c r="W7">
        <f>IF(INDEX(Data_as_is!$C7:$AU7,0,W$4)&gt;0,INDEX(Data_as_is!$C7:$AU7,0,W$4),Budget!$H$5)</f>
        <v>60</v>
      </c>
      <c r="X7">
        <f>IF(INDEX(Data_as_is!$C7:$AU7,0,X$4)&gt;0,INDEX(Data_as_is!$C7:$AU7,0,X$4),Budget!$H$5)</f>
        <v>60</v>
      </c>
      <c r="Y7">
        <f>IF(INDEX(Data_as_is!$C7:$AU7,0,Y$4)&gt;0,INDEX(Data_as_is!$C7:$AU7,0,Y$4),Budget!$H$5)</f>
        <v>60</v>
      </c>
      <c r="Z7">
        <f>IF(INDEX(Data_as_is!$C7:$AU7,0,Z$4)&gt;0,INDEX(Data_as_is!$C7:$AU7,0,Z$4),Budget!$H$5)</f>
        <v>60</v>
      </c>
      <c r="AA7">
        <f>IF(INDEX(Data_as_is!$C7:$AU7,0,AA$4)&gt;0,INDEX(Data_as_is!$C7:$AU7,0,AA$4),Budget!$H$5)</f>
        <v>60</v>
      </c>
      <c r="AB7">
        <f>IF(INDEX(Data_as_is!$C7:$AU7,0,AB$4)&gt;0,INDEX(Data_as_is!$C7:$AU7,0,AB$4),Budget!$H$5)</f>
        <v>60</v>
      </c>
      <c r="AC7">
        <f>IF(INDEX(Data_as_is!$C7:$AU7,0,AC$4)&gt;0,INDEX(Data_as_is!$C7:$AU7,0,AC$4),Budget!$H$5)</f>
        <v>60</v>
      </c>
      <c r="AD7">
        <f>IF(INDEX(Data_as_is!$C7:$AU7,0,AD$4)&gt;0,INDEX(Data_as_is!$C7:$AU7,0,AD$4),Budget!$H$5)</f>
        <v>60</v>
      </c>
      <c r="AE7">
        <f>IF(INDEX(Data_as_is!$C7:$AU7,0,AE$4)&gt;0,INDEX(Data_as_is!$C7:$AU7,0,AE$4),Budget!$H$5)</f>
        <v>60</v>
      </c>
      <c r="AF7">
        <f>IF(INDEX(Data_as_is!$C7:$AU7,0,AF$4)&gt;0,INDEX(Data_as_is!$C7:$AU7,0,AF$4),Budget!$H$5)</f>
        <v>60</v>
      </c>
      <c r="AG7">
        <f>IF(INDEX(Data_as_is!$C7:$AU7,0,AG$4)&gt;0,INDEX(Data_as_is!$C7:$AU7,0,AG$4),Budget!$H$5)</f>
        <v>60</v>
      </c>
      <c r="AH7">
        <f>IF(INDEX(Data_as_is!$C7:$AU7,0,AH$4)&gt;0,INDEX(Data_as_is!$C7:$AU7,0,AH$4),Budget!$H$5)</f>
        <v>52</v>
      </c>
      <c r="AI7">
        <f>IF(INDEX(Data_as_is!$C7:$AU7,0,AI$4)&gt;0,INDEX(Data_as_is!$C7:$AU7,0,AI$4),Budget!$H$5)</f>
        <v>60</v>
      </c>
      <c r="AJ7">
        <f>IF(INDEX(Data_as_is!$C7:$AU7,0,AJ$4)&gt;0,INDEX(Data_as_is!$C7:$AU7,0,AJ$4),Budget!$H$5)</f>
        <v>60</v>
      </c>
      <c r="AK7">
        <f>IF(INDEX(Data_as_is!$C7:$AU7,0,AK$4)&gt;0,INDEX(Data_as_is!$C7:$AU7,0,AK$4),Budget!$H$5)</f>
        <v>60</v>
      </c>
      <c r="AL7">
        <f>IF(INDEX(Data_as_is!$C7:$AU7,0,AL$4)&gt;0,INDEX(Data_as_is!$C7:$AU7,0,AL$4),Budget!$H$5)</f>
        <v>60</v>
      </c>
      <c r="AM7">
        <f>IF(INDEX(Data_as_is!$C7:$AU7,0,AM$4)&gt;0,INDEX(Data_as_is!$C7:$AU7,0,AM$4),Budget!$H$5)</f>
        <v>60</v>
      </c>
      <c r="AN7">
        <f>IF(INDEX(Data_as_is!$C7:$AU7,0,AN$4)&gt;0,INDEX(Data_as_is!$C7:$AU7,0,AN$4),Budget!$H$5)</f>
        <v>60</v>
      </c>
      <c r="AO7">
        <f>IF(INDEX(Data_as_is!$C7:$AU7,0,AO$4)&gt;0,INDEX(Data_as_is!$C7:$AU7,0,AO$4),Budget!$H$5)</f>
        <v>60</v>
      </c>
      <c r="AP7">
        <f>IF(INDEX(Data_as_is!$C7:$AU7,0,AP$4)&gt;0,INDEX(Data_as_is!$C7:$AU7,0,AP$4),Budget!$H$5)</f>
        <v>60</v>
      </c>
      <c r="AQ7">
        <f>IF(INDEX(Data_as_is!$C7:$AU7,0,AQ$4)&gt;0,INDEX(Data_as_is!$C7:$AU7,0,AQ$4),Budget!$H$5)</f>
        <v>60</v>
      </c>
      <c r="AR7">
        <f>IF(INDEX(Data_as_is!$C7:$AU7,0,AR$4)&gt;0,INDEX(Data_as_is!$C7:$AU7,0,AR$4),Budget!$H$5)</f>
        <v>60</v>
      </c>
      <c r="AS7">
        <f>IF(INDEX(Data_as_is!$C7:$AU7,0,AS$4)&gt;0,INDEX(Data_as_is!$C7:$AU7,0,AS$4),Budget!$H$5)</f>
        <v>60</v>
      </c>
      <c r="AT7">
        <f>IF(INDEX(Data_as_is!$C7:$AU7,0,AT$4)&gt;0,INDEX(Data_as_is!$C7:$AU7,0,AT$4),Budget!$H$5)</f>
        <v>60</v>
      </c>
      <c r="AU7" s="2"/>
      <c r="AV7">
        <f t="shared" si="0"/>
        <v>60</v>
      </c>
    </row>
    <row r="8" spans="1:48" x14ac:dyDescent="0.25">
      <c r="B8" s="3"/>
      <c r="D8"/>
      <c r="H8"/>
      <c r="L8"/>
      <c r="O8"/>
      <c r="AB8"/>
      <c r="AH8"/>
      <c r="AI8"/>
      <c r="AJ8"/>
      <c r="AK8"/>
      <c r="AL8"/>
      <c r="AM8"/>
      <c r="AN8"/>
      <c r="AO8"/>
      <c r="AP8"/>
      <c r="AQ8"/>
      <c r="AR8"/>
      <c r="AS8"/>
      <c r="AT8"/>
      <c r="AU8" s="2"/>
    </row>
    <row r="9" spans="1:48" ht="60" x14ac:dyDescent="0.25">
      <c r="A9">
        <v>3</v>
      </c>
      <c r="B9" s="4" t="s">
        <v>4</v>
      </c>
      <c r="C9" s="7" t="s">
        <v>31</v>
      </c>
      <c r="D9" s="35" t="s">
        <v>31</v>
      </c>
      <c r="E9" s="7" t="s">
        <v>81</v>
      </c>
      <c r="F9" s="7" t="s">
        <v>82</v>
      </c>
      <c r="G9" s="7" t="s">
        <v>82</v>
      </c>
      <c r="H9" s="35" t="s">
        <v>82</v>
      </c>
      <c r="I9" s="7" t="s">
        <v>89</v>
      </c>
      <c r="J9" s="7" t="s">
        <v>91</v>
      </c>
      <c r="K9" s="7" t="s">
        <v>93</v>
      </c>
      <c r="L9" s="35" t="s">
        <v>93</v>
      </c>
      <c r="M9" s="7" t="s">
        <v>82</v>
      </c>
      <c r="N9" s="38" t="s">
        <v>91</v>
      </c>
      <c r="O9" s="39" t="s">
        <v>91</v>
      </c>
      <c r="P9" s="39" t="s">
        <v>91</v>
      </c>
      <c r="Q9" s="7" t="s">
        <v>97</v>
      </c>
      <c r="R9" s="38" t="s">
        <v>91</v>
      </c>
      <c r="S9" s="38" t="s">
        <v>91</v>
      </c>
      <c r="T9" s="7" t="s">
        <v>82</v>
      </c>
      <c r="U9" s="7" t="s">
        <v>100</v>
      </c>
      <c r="V9" s="7" t="s">
        <v>82</v>
      </c>
      <c r="W9" s="7" t="s">
        <v>102</v>
      </c>
      <c r="X9" s="7" t="s">
        <v>82</v>
      </c>
      <c r="Y9" s="7" t="s">
        <v>93</v>
      </c>
      <c r="Z9" s="7" t="s">
        <v>82</v>
      </c>
      <c r="AA9" s="7" t="s">
        <v>103</v>
      </c>
      <c r="AB9" s="49" t="s">
        <v>103</v>
      </c>
      <c r="AC9" s="7" t="s">
        <v>106</v>
      </c>
      <c r="AD9" s="7" t="s">
        <v>108</v>
      </c>
      <c r="AE9" s="7" t="s">
        <v>93</v>
      </c>
      <c r="AF9" s="7" t="s">
        <v>82</v>
      </c>
      <c r="AG9" s="7" t="s">
        <v>111</v>
      </c>
      <c r="AH9" s="49" t="s">
        <v>111</v>
      </c>
      <c r="AI9" s="7" t="s">
        <v>154</v>
      </c>
      <c r="AJ9" s="7" t="s">
        <v>93</v>
      </c>
      <c r="AK9" s="7"/>
      <c r="AL9" s="7" t="s">
        <v>154</v>
      </c>
      <c r="AM9" s="49" t="s">
        <v>154</v>
      </c>
      <c r="AN9" s="7" t="s">
        <v>158</v>
      </c>
      <c r="AO9" s="7"/>
      <c r="AP9" s="7" t="s">
        <v>154</v>
      </c>
      <c r="AQ9" s="7" t="s">
        <v>162</v>
      </c>
      <c r="AR9" s="7" t="s">
        <v>162</v>
      </c>
      <c r="AS9" s="7"/>
      <c r="AT9" s="7"/>
      <c r="AU9" s="7"/>
      <c r="AV9" t="str">
        <f t="shared" ref="AV9:AV17" si="1">INDEX(C9:AU9,0,$AV$4)</f>
        <v>GEA</v>
      </c>
    </row>
    <row r="10" spans="1:48" x14ac:dyDescent="0.25">
      <c r="A10">
        <v>4</v>
      </c>
      <c r="B10" s="14" t="s">
        <v>33</v>
      </c>
      <c r="C10" s="2">
        <v>2012</v>
      </c>
      <c r="D10" s="34">
        <v>2012</v>
      </c>
      <c r="E10" s="2">
        <v>2010</v>
      </c>
      <c r="F10" s="2">
        <v>2010</v>
      </c>
      <c r="G10" s="2">
        <v>2012</v>
      </c>
      <c r="H10" s="34">
        <v>2012</v>
      </c>
      <c r="I10" s="2">
        <v>2009</v>
      </c>
      <c r="J10" s="2">
        <v>2008</v>
      </c>
      <c r="K10" s="2">
        <v>2012</v>
      </c>
      <c r="L10" s="34">
        <v>2012</v>
      </c>
      <c r="M10" s="2">
        <v>2011</v>
      </c>
      <c r="N10" s="2">
        <v>2011</v>
      </c>
      <c r="O10" s="34">
        <v>2011</v>
      </c>
      <c r="P10" s="2">
        <v>2012</v>
      </c>
      <c r="Q10" s="2">
        <v>2008</v>
      </c>
      <c r="R10" s="2">
        <v>2011</v>
      </c>
      <c r="S10" s="2">
        <v>2011</v>
      </c>
      <c r="T10" s="2">
        <v>2009</v>
      </c>
      <c r="U10" s="2">
        <v>2009</v>
      </c>
      <c r="V10" s="2">
        <v>2009</v>
      </c>
      <c r="W10" s="2">
        <v>2012</v>
      </c>
      <c r="X10" s="2">
        <v>2010</v>
      </c>
      <c r="Y10" s="2">
        <v>2011</v>
      </c>
      <c r="Z10" s="2">
        <v>2010</v>
      </c>
      <c r="AA10" s="2">
        <v>2011</v>
      </c>
      <c r="AB10" s="48">
        <v>2011</v>
      </c>
      <c r="AC10" s="2">
        <v>2009</v>
      </c>
      <c r="AD10" s="2">
        <v>2012</v>
      </c>
      <c r="AE10" s="2">
        <v>2012</v>
      </c>
      <c r="AF10" s="2">
        <v>2012</v>
      </c>
      <c r="AG10" s="2">
        <v>2012</v>
      </c>
      <c r="AH10" s="48">
        <v>2012</v>
      </c>
      <c r="AI10" s="2">
        <v>2007</v>
      </c>
      <c r="AJ10" s="2">
        <v>2009</v>
      </c>
      <c r="AK10" s="2">
        <v>2009</v>
      </c>
      <c r="AL10" s="2">
        <v>2010</v>
      </c>
      <c r="AM10" s="48">
        <v>2010</v>
      </c>
      <c r="AN10" s="2">
        <v>2008</v>
      </c>
      <c r="AO10" s="2">
        <v>2010</v>
      </c>
      <c r="AP10" s="2">
        <v>2009</v>
      </c>
      <c r="AQ10" s="2">
        <v>2011</v>
      </c>
      <c r="AR10" s="2">
        <v>2011</v>
      </c>
      <c r="AS10" s="2">
        <v>2011</v>
      </c>
      <c r="AT10" s="2"/>
      <c r="AU10" s="2"/>
      <c r="AV10">
        <f t="shared" si="1"/>
        <v>2012</v>
      </c>
    </row>
    <row r="11" spans="1:48" x14ac:dyDescent="0.25">
      <c r="B11" s="15" t="s">
        <v>32</v>
      </c>
      <c r="C11" s="2">
        <v>5</v>
      </c>
      <c r="D11" s="34">
        <v>5</v>
      </c>
      <c r="E11" s="2">
        <v>8</v>
      </c>
      <c r="F11" s="2">
        <v>7</v>
      </c>
      <c r="G11" s="2">
        <v>8</v>
      </c>
      <c r="H11" s="34">
        <v>8</v>
      </c>
      <c r="I11" s="2">
        <v>12</v>
      </c>
      <c r="J11" s="2">
        <v>4</v>
      </c>
      <c r="K11" s="2">
        <v>8</v>
      </c>
      <c r="L11" s="34">
        <v>8</v>
      </c>
      <c r="M11" s="2">
        <v>8</v>
      </c>
      <c r="N11" s="2">
        <v>6</v>
      </c>
      <c r="O11" s="34">
        <v>6</v>
      </c>
      <c r="P11" s="2">
        <v>1</v>
      </c>
      <c r="Q11" s="2">
        <v>7</v>
      </c>
      <c r="R11" s="2">
        <v>5</v>
      </c>
      <c r="S11" s="2">
        <v>8</v>
      </c>
      <c r="T11" s="2">
        <v>8</v>
      </c>
      <c r="U11" s="2">
        <v>11</v>
      </c>
      <c r="V11" s="2"/>
      <c r="W11" s="2">
        <v>4</v>
      </c>
      <c r="X11" s="2"/>
      <c r="Y11" s="2">
        <v>3</v>
      </c>
      <c r="Z11" s="2">
        <v>8</v>
      </c>
      <c r="AA11" s="2">
        <v>12</v>
      </c>
      <c r="AB11" s="48">
        <v>12</v>
      </c>
      <c r="AC11" s="2">
        <v>4</v>
      </c>
      <c r="AD11" s="2">
        <v>1</v>
      </c>
      <c r="AE11" s="2">
        <v>9</v>
      </c>
      <c r="AF11" s="2">
        <v>7</v>
      </c>
      <c r="AG11" s="2">
        <v>11</v>
      </c>
      <c r="AH11" s="48">
        <v>11</v>
      </c>
      <c r="AI11" s="2"/>
      <c r="AJ11" s="2">
        <v>2</v>
      </c>
      <c r="AK11" s="2">
        <v>6</v>
      </c>
      <c r="AL11" s="2"/>
      <c r="AM11" s="48"/>
      <c r="AN11" s="2"/>
      <c r="AO11" s="2">
        <v>12</v>
      </c>
      <c r="AP11" s="2"/>
      <c r="AQ11" s="2">
        <v>1</v>
      </c>
      <c r="AR11" s="2">
        <v>1</v>
      </c>
      <c r="AS11" s="2">
        <v>12</v>
      </c>
      <c r="AT11" s="2"/>
      <c r="AU11" s="2"/>
      <c r="AV11">
        <f t="shared" si="1"/>
        <v>4</v>
      </c>
    </row>
    <row r="12" spans="1:48" x14ac:dyDescent="0.25">
      <c r="A12">
        <v>5</v>
      </c>
      <c r="B12" s="1" t="s">
        <v>5</v>
      </c>
      <c r="C12" s="2">
        <v>50</v>
      </c>
      <c r="D12" s="34">
        <v>200</v>
      </c>
      <c r="E12" s="2">
        <v>10</v>
      </c>
      <c r="F12" s="2">
        <v>22</v>
      </c>
      <c r="G12" s="2">
        <v>26</v>
      </c>
      <c r="H12" s="34">
        <v>26</v>
      </c>
      <c r="I12" s="2">
        <v>30</v>
      </c>
      <c r="J12" s="2">
        <v>35</v>
      </c>
      <c r="K12" s="2">
        <v>25</v>
      </c>
      <c r="L12" s="34">
        <v>40</v>
      </c>
      <c r="M12" s="2">
        <v>7</v>
      </c>
      <c r="N12" s="2">
        <v>24</v>
      </c>
      <c r="O12" s="34">
        <v>45</v>
      </c>
      <c r="P12" s="2">
        <v>48</v>
      </c>
      <c r="Q12" s="2">
        <v>50</v>
      </c>
      <c r="R12" s="2">
        <v>15</v>
      </c>
      <c r="S12" s="2">
        <v>85</v>
      </c>
      <c r="T12" s="2">
        <v>27</v>
      </c>
      <c r="U12" s="2">
        <v>36</v>
      </c>
      <c r="V12" s="2">
        <v>26</v>
      </c>
      <c r="W12" s="2">
        <v>40</v>
      </c>
      <c r="X12" s="2">
        <v>45</v>
      </c>
      <c r="Y12" s="2">
        <v>40</v>
      </c>
      <c r="Z12" s="2">
        <v>25</v>
      </c>
      <c r="AA12" s="2">
        <v>34</v>
      </c>
      <c r="AB12" s="48">
        <v>40</v>
      </c>
      <c r="AC12" s="2">
        <v>50</v>
      </c>
      <c r="AD12" s="2">
        <v>18</v>
      </c>
      <c r="AE12" s="2">
        <v>25</v>
      </c>
      <c r="AF12" s="2">
        <v>60</v>
      </c>
      <c r="AG12" s="2">
        <v>50</v>
      </c>
      <c r="AH12" s="48">
        <v>60</v>
      </c>
      <c r="AI12" s="2">
        <f>(5+75)/2</f>
        <v>40</v>
      </c>
      <c r="AJ12" s="2">
        <v>27</v>
      </c>
      <c r="AK12" s="2">
        <v>75</v>
      </c>
      <c r="AL12" s="2">
        <v>85</v>
      </c>
      <c r="AM12" s="48">
        <v>150</v>
      </c>
      <c r="AN12" s="2">
        <v>120</v>
      </c>
      <c r="AO12" s="2">
        <v>350</v>
      </c>
      <c r="AP12" s="2">
        <v>40</v>
      </c>
      <c r="AQ12" s="2">
        <v>95</v>
      </c>
      <c r="AR12" s="2">
        <v>140</v>
      </c>
      <c r="AS12" s="2">
        <v>100</v>
      </c>
      <c r="AT12" s="2"/>
      <c r="AU12" s="2"/>
      <c r="AV12">
        <f t="shared" si="1"/>
        <v>40</v>
      </c>
    </row>
    <row r="13" spans="1:48" x14ac:dyDescent="0.25">
      <c r="B13" s="1" t="s">
        <v>34</v>
      </c>
      <c r="C13" s="2">
        <v>1</v>
      </c>
      <c r="D13" s="34">
        <v>4</v>
      </c>
      <c r="E13" s="2">
        <v>1</v>
      </c>
      <c r="F13" s="2">
        <v>1</v>
      </c>
      <c r="G13" s="2">
        <v>1</v>
      </c>
      <c r="H13" s="34">
        <v>1</v>
      </c>
      <c r="I13" s="2">
        <v>1</v>
      </c>
      <c r="J13" s="2">
        <v>1</v>
      </c>
      <c r="K13" s="2">
        <v>1</v>
      </c>
      <c r="L13" s="34">
        <v>1</v>
      </c>
      <c r="M13" s="2">
        <v>1</v>
      </c>
      <c r="N13" s="2">
        <v>1</v>
      </c>
      <c r="O13" s="34">
        <v>1</v>
      </c>
      <c r="P13" s="2">
        <v>1</v>
      </c>
      <c r="Q13" s="2">
        <v>1</v>
      </c>
      <c r="R13" s="2">
        <v>1</v>
      </c>
      <c r="S13" s="2">
        <v>1</v>
      </c>
      <c r="T13" s="2">
        <v>1</v>
      </c>
      <c r="U13" s="2">
        <v>1</v>
      </c>
      <c r="V13" s="2">
        <v>1</v>
      </c>
      <c r="W13" s="2">
        <v>1</v>
      </c>
      <c r="X13" s="2">
        <v>1</v>
      </c>
      <c r="Y13" s="2">
        <v>1</v>
      </c>
      <c r="Z13" s="2">
        <v>1</v>
      </c>
      <c r="AA13" s="2">
        <v>1</v>
      </c>
      <c r="AB13" s="48">
        <v>1</v>
      </c>
      <c r="AC13" s="2">
        <v>1</v>
      </c>
      <c r="AD13" s="2">
        <v>1</v>
      </c>
      <c r="AE13" s="2">
        <v>1</v>
      </c>
      <c r="AF13" s="2">
        <v>1</v>
      </c>
      <c r="AG13" s="2">
        <v>1</v>
      </c>
      <c r="AH13" s="48">
        <v>1</v>
      </c>
      <c r="AI13" s="2">
        <v>1</v>
      </c>
      <c r="AJ13" s="2">
        <v>1</v>
      </c>
      <c r="AK13" s="2">
        <v>2</v>
      </c>
      <c r="AL13" s="2">
        <v>3</v>
      </c>
      <c r="AM13" s="48">
        <v>3</v>
      </c>
      <c r="AN13" s="2" t="s">
        <v>159</v>
      </c>
      <c r="AO13" s="2"/>
      <c r="AP13" s="2"/>
      <c r="AQ13" s="2">
        <v>2</v>
      </c>
      <c r="AR13" s="2"/>
      <c r="AS13" s="2">
        <v>2</v>
      </c>
      <c r="AT13" s="2"/>
      <c r="AU13" s="2"/>
      <c r="AV13">
        <f t="shared" si="1"/>
        <v>1</v>
      </c>
    </row>
    <row r="14" spans="1:48" x14ac:dyDescent="0.25">
      <c r="B14" s="1" t="s">
        <v>35</v>
      </c>
      <c r="C14" s="2">
        <v>4</v>
      </c>
      <c r="D14" s="34"/>
      <c r="E14" s="2"/>
      <c r="F14" s="2"/>
      <c r="G14" s="2"/>
      <c r="H14" s="34"/>
      <c r="I14" s="2"/>
      <c r="J14" s="2"/>
      <c r="K14" s="2"/>
      <c r="L14" s="34"/>
      <c r="M14" s="2"/>
      <c r="N14" s="2"/>
      <c r="O14" s="34"/>
      <c r="P14" s="2"/>
      <c r="Q14" s="2"/>
      <c r="R14" s="2"/>
      <c r="S14" s="2"/>
      <c r="T14" s="2"/>
      <c r="U14" s="2"/>
      <c r="V14" s="2">
        <v>1</v>
      </c>
      <c r="W14" s="2"/>
      <c r="X14" s="2"/>
      <c r="Y14" s="2"/>
      <c r="Z14" s="2"/>
      <c r="AA14" s="2"/>
      <c r="AB14" s="48"/>
      <c r="AC14" s="2"/>
      <c r="AD14" s="2"/>
      <c r="AE14" s="2"/>
      <c r="AF14" s="2"/>
      <c r="AG14" s="2"/>
      <c r="AH14" s="48"/>
      <c r="AI14" s="77"/>
      <c r="AJ14" s="2"/>
      <c r="AK14" s="2"/>
      <c r="AL14" s="2"/>
      <c r="AM14" s="48"/>
      <c r="AN14" s="2"/>
      <c r="AO14" s="2"/>
      <c r="AP14" s="2"/>
      <c r="AQ14" s="2"/>
      <c r="AR14" s="2"/>
      <c r="AS14" s="2"/>
      <c r="AT14" s="2"/>
      <c r="AU14" s="2"/>
      <c r="AV14">
        <f t="shared" si="1"/>
        <v>0</v>
      </c>
    </row>
    <row r="15" spans="1:48" ht="45" x14ac:dyDescent="0.25">
      <c r="A15">
        <v>6</v>
      </c>
      <c r="B15" s="5" t="s">
        <v>6</v>
      </c>
      <c r="C15" s="2">
        <v>200</v>
      </c>
      <c r="D15" s="34"/>
      <c r="E15" s="2"/>
      <c r="F15" s="2"/>
      <c r="G15" s="2"/>
      <c r="H15" s="34"/>
      <c r="I15" s="2"/>
      <c r="J15" s="2"/>
      <c r="K15" s="2"/>
      <c r="L15" s="34"/>
      <c r="M15" s="2"/>
      <c r="N15" s="2"/>
      <c r="O15" s="34"/>
      <c r="P15" s="2"/>
      <c r="Q15" s="2"/>
      <c r="R15" s="2"/>
      <c r="S15" s="2"/>
      <c r="T15" s="2"/>
      <c r="U15" s="2"/>
      <c r="V15" s="2"/>
      <c r="W15" s="2"/>
      <c r="X15" s="2"/>
      <c r="Y15" s="2"/>
      <c r="Z15" s="2"/>
      <c r="AA15" s="2"/>
      <c r="AB15" s="48"/>
      <c r="AC15" s="2"/>
      <c r="AD15" s="2"/>
      <c r="AE15" s="2"/>
      <c r="AF15" s="2"/>
      <c r="AG15" s="2"/>
      <c r="AH15" s="48"/>
      <c r="AI15" s="2"/>
      <c r="AJ15" s="2"/>
      <c r="AK15" s="2"/>
      <c r="AL15" s="2"/>
      <c r="AM15" s="48"/>
      <c r="AN15" s="2"/>
      <c r="AO15" s="2"/>
      <c r="AP15" s="2"/>
      <c r="AQ15" s="2"/>
      <c r="AR15" s="2"/>
      <c r="AS15" s="2"/>
      <c r="AT15" s="2"/>
      <c r="AU15" s="2"/>
      <c r="AV15">
        <f t="shared" si="1"/>
        <v>0</v>
      </c>
    </row>
    <row r="16" spans="1:48" ht="30" x14ac:dyDescent="0.25">
      <c r="A16">
        <v>7</v>
      </c>
      <c r="B16" s="10" t="s">
        <v>7</v>
      </c>
      <c r="C16" s="2" t="s">
        <v>36</v>
      </c>
      <c r="D16" s="34" t="s">
        <v>36</v>
      </c>
      <c r="E16" s="2" t="s">
        <v>36</v>
      </c>
      <c r="F16" s="2" t="s">
        <v>36</v>
      </c>
      <c r="G16" s="2" t="s">
        <v>36</v>
      </c>
      <c r="H16" s="2" t="s">
        <v>36</v>
      </c>
      <c r="I16" s="2" t="s">
        <v>36</v>
      </c>
      <c r="J16" s="2" t="s">
        <v>38</v>
      </c>
      <c r="K16" s="2" t="s">
        <v>36</v>
      </c>
      <c r="L16" s="34" t="s">
        <v>36</v>
      </c>
      <c r="M16" s="2" t="s">
        <v>36</v>
      </c>
      <c r="N16" s="2" t="s">
        <v>36</v>
      </c>
      <c r="O16" s="34" t="s">
        <v>36</v>
      </c>
      <c r="P16" s="2" t="s">
        <v>36</v>
      </c>
      <c r="Q16" s="2" t="s">
        <v>36</v>
      </c>
      <c r="R16" s="2" t="s">
        <v>36</v>
      </c>
      <c r="S16" s="2" t="s">
        <v>36</v>
      </c>
      <c r="T16" s="2" t="s">
        <v>36</v>
      </c>
      <c r="U16" s="2" t="s">
        <v>36</v>
      </c>
      <c r="V16" s="2" t="s">
        <v>36</v>
      </c>
      <c r="W16" s="2" t="s">
        <v>38</v>
      </c>
      <c r="X16" s="2" t="s">
        <v>36</v>
      </c>
      <c r="Y16" s="2" t="s">
        <v>36</v>
      </c>
      <c r="Z16" s="2"/>
      <c r="AA16" s="2" t="s">
        <v>36</v>
      </c>
      <c r="AB16" s="48" t="s">
        <v>36</v>
      </c>
      <c r="AC16" s="2" t="s">
        <v>36</v>
      </c>
      <c r="AD16" s="2" t="s">
        <v>36</v>
      </c>
      <c r="AE16" s="2"/>
      <c r="AF16" s="2" t="s">
        <v>36</v>
      </c>
      <c r="AG16" s="2" t="s">
        <v>36</v>
      </c>
      <c r="AH16" s="48" t="s">
        <v>36</v>
      </c>
      <c r="AI16" s="2" t="s">
        <v>36</v>
      </c>
      <c r="AJ16" s="2" t="s">
        <v>36</v>
      </c>
      <c r="AK16" s="2" t="s">
        <v>36</v>
      </c>
      <c r="AL16" s="2" t="s">
        <v>36</v>
      </c>
      <c r="AM16" s="48" t="s">
        <v>36</v>
      </c>
      <c r="AN16" s="2"/>
      <c r="AO16" s="2"/>
      <c r="AP16" s="2" t="s">
        <v>36</v>
      </c>
      <c r="AQ16" s="2"/>
      <c r="AR16" s="2"/>
      <c r="AS16" s="2"/>
      <c r="AT16" s="2"/>
      <c r="AU16" s="2"/>
      <c r="AV16" t="str">
        <f t="shared" si="1"/>
        <v>no</v>
      </c>
    </row>
    <row r="17" spans="1:48" ht="30" x14ac:dyDescent="0.25">
      <c r="A17">
        <v>8</v>
      </c>
      <c r="B17" s="8" t="s">
        <v>8</v>
      </c>
      <c r="C17" s="2" t="s">
        <v>37</v>
      </c>
      <c r="D17" s="34" t="s">
        <v>37</v>
      </c>
      <c r="E17" s="2"/>
      <c r="F17" s="2"/>
      <c r="G17" s="2"/>
      <c r="H17" s="34"/>
      <c r="I17" s="2"/>
      <c r="J17" s="2"/>
      <c r="K17" s="2"/>
      <c r="L17" s="34"/>
      <c r="M17" s="2"/>
      <c r="N17" s="2"/>
      <c r="O17" s="34"/>
      <c r="P17" s="2"/>
      <c r="Q17" s="2"/>
      <c r="R17" s="2"/>
      <c r="S17" s="2"/>
      <c r="T17" s="2"/>
      <c r="U17" s="2"/>
      <c r="V17" s="2"/>
      <c r="W17" s="2"/>
      <c r="X17" s="2"/>
      <c r="Y17" s="2"/>
      <c r="Z17" s="2"/>
      <c r="AA17" s="2"/>
      <c r="AB17" s="48"/>
      <c r="AC17" s="2"/>
      <c r="AD17" s="2"/>
      <c r="AE17" s="2"/>
      <c r="AF17" s="2"/>
      <c r="AG17" s="2"/>
      <c r="AH17" s="48"/>
      <c r="AI17" s="2"/>
      <c r="AJ17" s="2"/>
      <c r="AK17" s="2"/>
      <c r="AL17" s="2"/>
      <c r="AM17" s="48"/>
      <c r="AN17" s="2"/>
      <c r="AO17" s="2"/>
      <c r="AP17" s="2"/>
      <c r="AQ17" s="2"/>
      <c r="AR17" s="2"/>
      <c r="AS17" s="2"/>
      <c r="AT17" s="2"/>
      <c r="AU17" s="2"/>
      <c r="AV17">
        <f t="shared" si="1"/>
        <v>0</v>
      </c>
    </row>
    <row r="18" spans="1:48" x14ac:dyDescent="0.25">
      <c r="B18" s="8" t="s">
        <v>113</v>
      </c>
      <c r="C18" s="2" t="s">
        <v>114</v>
      </c>
      <c r="D18" s="34" t="s">
        <v>114</v>
      </c>
      <c r="E18" s="2" t="s">
        <v>114</v>
      </c>
      <c r="F18" s="2" t="s">
        <v>116</v>
      </c>
      <c r="G18" s="2" t="s">
        <v>116</v>
      </c>
      <c r="H18" s="34" t="s">
        <v>116</v>
      </c>
      <c r="I18" s="2" t="s">
        <v>117</v>
      </c>
      <c r="J18" s="2" t="s">
        <v>117</v>
      </c>
      <c r="K18" s="2" t="s">
        <v>117</v>
      </c>
      <c r="L18" s="34" t="s">
        <v>117</v>
      </c>
      <c r="M18" s="2" t="s">
        <v>117</v>
      </c>
      <c r="N18" s="2" t="s">
        <v>117</v>
      </c>
      <c r="O18" s="34" t="s">
        <v>117</v>
      </c>
      <c r="P18" s="2" t="s">
        <v>117</v>
      </c>
      <c r="Q18" s="2" t="s">
        <v>116</v>
      </c>
      <c r="R18" s="2" t="s">
        <v>117</v>
      </c>
      <c r="S18" s="2" t="s">
        <v>117</v>
      </c>
      <c r="T18" s="2" t="s">
        <v>117</v>
      </c>
      <c r="U18" s="2" t="s">
        <v>116</v>
      </c>
      <c r="V18" s="2" t="s">
        <v>117</v>
      </c>
      <c r="W18" s="2" t="s">
        <v>116</v>
      </c>
      <c r="X18" s="2" t="s">
        <v>117</v>
      </c>
      <c r="Y18" s="2" t="s">
        <v>117</v>
      </c>
      <c r="Z18" s="2" t="s">
        <v>115</v>
      </c>
      <c r="AA18" s="2" t="s">
        <v>114</v>
      </c>
      <c r="AB18" s="48" t="s">
        <v>114</v>
      </c>
      <c r="AC18" s="2" t="s">
        <v>117</v>
      </c>
      <c r="AD18" s="2" t="s">
        <v>117</v>
      </c>
      <c r="AE18" s="2" t="s">
        <v>116</v>
      </c>
      <c r="AF18" s="2" t="s">
        <v>117</v>
      </c>
      <c r="AG18" s="2" t="s">
        <v>116</v>
      </c>
      <c r="AH18" s="48" t="s">
        <v>116</v>
      </c>
      <c r="AI18" s="2" t="s">
        <v>116</v>
      </c>
      <c r="AJ18" s="2" t="s">
        <v>116</v>
      </c>
      <c r="AK18" s="2" t="s">
        <v>116</v>
      </c>
      <c r="AL18" s="2" t="s">
        <v>116</v>
      </c>
      <c r="AM18" s="48" t="s">
        <v>116</v>
      </c>
      <c r="AN18" s="2"/>
      <c r="AO18" s="2" t="s">
        <v>116</v>
      </c>
      <c r="AP18" s="2" t="s">
        <v>117</v>
      </c>
      <c r="AQ18" s="2" t="s">
        <v>117</v>
      </c>
      <c r="AR18" s="2" t="s">
        <v>117</v>
      </c>
      <c r="AS18" s="2" t="s">
        <v>116</v>
      </c>
      <c r="AT18" s="2"/>
      <c r="AU18" s="2"/>
    </row>
    <row r="19" spans="1:48" ht="30" x14ac:dyDescent="0.25">
      <c r="B19" s="9" t="s">
        <v>9</v>
      </c>
      <c r="C19" s="2">
        <v>25000</v>
      </c>
      <c r="D19" s="34">
        <v>25000</v>
      </c>
      <c r="E19" s="2">
        <v>30000</v>
      </c>
      <c r="F19" s="2">
        <v>82000</v>
      </c>
      <c r="G19" s="2">
        <v>40000</v>
      </c>
      <c r="H19" s="34">
        <v>40000</v>
      </c>
      <c r="I19" s="2">
        <f>I20+I21</f>
        <v>43445</v>
      </c>
      <c r="J19" s="2">
        <v>41650</v>
      </c>
      <c r="K19" s="2">
        <v>18000</v>
      </c>
      <c r="L19" s="34">
        <v>18000</v>
      </c>
      <c r="M19" s="2">
        <f>M20+M21</f>
        <v>15672</v>
      </c>
      <c r="N19" s="2">
        <v>30000</v>
      </c>
      <c r="O19" s="34">
        <v>30000</v>
      </c>
      <c r="P19" s="2">
        <v>30000</v>
      </c>
      <c r="Q19" s="2">
        <v>50000</v>
      </c>
      <c r="R19" s="2">
        <v>30000</v>
      </c>
      <c r="S19" s="2">
        <v>35000</v>
      </c>
      <c r="T19" s="2">
        <v>50000</v>
      </c>
      <c r="U19" s="2">
        <v>50000</v>
      </c>
      <c r="V19" s="2">
        <f>V20+V21</f>
        <v>24143.529411764706</v>
      </c>
      <c r="W19" s="2">
        <v>600000</v>
      </c>
      <c r="X19" s="2">
        <f>X20+X21</f>
        <v>17300</v>
      </c>
      <c r="Y19" s="2">
        <v>18000</v>
      </c>
      <c r="Z19" s="2">
        <v>32000</v>
      </c>
      <c r="AA19" s="2">
        <v>45000</v>
      </c>
      <c r="AB19" s="48">
        <v>45000</v>
      </c>
      <c r="AC19" s="2">
        <v>33000</v>
      </c>
      <c r="AD19" s="2">
        <f>AD20+AD21</f>
        <v>30355</v>
      </c>
      <c r="AE19" s="2">
        <f>AE20+AE21</f>
        <v>99000</v>
      </c>
      <c r="AF19" s="2">
        <v>30000</v>
      </c>
      <c r="AG19" s="2">
        <v>85000</v>
      </c>
      <c r="AH19" s="48">
        <v>85000</v>
      </c>
      <c r="AI19" s="2">
        <f>AI20+AI21</f>
        <v>184000</v>
      </c>
      <c r="AJ19" s="2">
        <f>AJ20+AJ21</f>
        <v>74763</v>
      </c>
      <c r="AK19" s="2">
        <f>AK20+AK21</f>
        <v>100000</v>
      </c>
      <c r="AL19" s="2">
        <v>172471</v>
      </c>
      <c r="AM19" s="48">
        <v>172471</v>
      </c>
      <c r="AN19" s="2"/>
      <c r="AO19" s="2">
        <f>AO20+AO21</f>
        <v>365000</v>
      </c>
      <c r="AP19" s="2">
        <f>AP20+AP21</f>
        <v>20000</v>
      </c>
      <c r="AQ19" s="2">
        <f>AQ20+AQ21</f>
        <v>60000</v>
      </c>
      <c r="AR19" s="2">
        <f>AR20+AR21</f>
        <v>60000</v>
      </c>
      <c r="AS19" s="2">
        <f>AS20+AS21</f>
        <v>202000</v>
      </c>
      <c r="AT19" s="2"/>
      <c r="AU19" s="2"/>
      <c r="AV19">
        <f t="shared" ref="AV19:AV48" si="2">INDEX(C19:AU19,0,$AV$4)</f>
        <v>600000</v>
      </c>
    </row>
    <row r="20" spans="1:48" ht="30" x14ac:dyDescent="0.25">
      <c r="A20">
        <v>9</v>
      </c>
      <c r="B20" s="1" t="s">
        <v>10</v>
      </c>
      <c r="C20" s="2">
        <v>20000</v>
      </c>
      <c r="D20" s="34">
        <v>80000</v>
      </c>
      <c r="E20" s="2">
        <v>16000</v>
      </c>
      <c r="F20" s="2">
        <v>14500</v>
      </c>
      <c r="G20" s="2">
        <v>15000</v>
      </c>
      <c r="H20" s="34">
        <v>15000</v>
      </c>
      <c r="I20" s="2">
        <v>17110</v>
      </c>
      <c r="J20" s="2">
        <v>20500</v>
      </c>
      <c r="K20" s="2">
        <v>13000</v>
      </c>
      <c r="L20" s="34">
        <v>13000</v>
      </c>
      <c r="M20" s="2">
        <v>13672</v>
      </c>
      <c r="N20" s="2">
        <v>20000</v>
      </c>
      <c r="O20" s="34">
        <v>20000</v>
      </c>
      <c r="P20" s="2">
        <v>20000</v>
      </c>
      <c r="Q20" s="2">
        <v>15500</v>
      </c>
      <c r="R20" s="2">
        <v>11000</v>
      </c>
      <c r="S20" s="2">
        <v>25000</v>
      </c>
      <c r="T20" s="2">
        <v>14700</v>
      </c>
      <c r="U20" s="2">
        <v>18000</v>
      </c>
      <c r="V20" s="2">
        <v>12000</v>
      </c>
      <c r="W20" s="2">
        <v>18000</v>
      </c>
      <c r="X20" s="2">
        <v>16000</v>
      </c>
      <c r="Y20" s="2">
        <v>15500</v>
      </c>
      <c r="Z20" s="2">
        <v>17000</v>
      </c>
      <c r="AA20" s="2">
        <v>14000</v>
      </c>
      <c r="AB20" s="48">
        <v>14000</v>
      </c>
      <c r="AC20" s="2">
        <v>23000</v>
      </c>
      <c r="AD20" s="2">
        <v>16500</v>
      </c>
      <c r="AE20" s="2">
        <v>13000</v>
      </c>
      <c r="AF20" s="2">
        <v>17000</v>
      </c>
      <c r="AG20" s="2">
        <v>16000</v>
      </c>
      <c r="AH20" s="48">
        <v>16000</v>
      </c>
      <c r="AI20" s="2">
        <v>24000</v>
      </c>
      <c r="AJ20" s="2">
        <v>14609</v>
      </c>
      <c r="AK20" s="2">
        <v>26000</v>
      </c>
      <c r="AL20" s="2">
        <v>80000</v>
      </c>
      <c r="AM20" s="48">
        <v>80000</v>
      </c>
      <c r="AN20" s="2"/>
      <c r="AO20" s="2">
        <v>15000</v>
      </c>
      <c r="AP20" s="2">
        <v>13000</v>
      </c>
      <c r="AQ20" s="2">
        <v>40000</v>
      </c>
      <c r="AR20" s="2">
        <v>40000</v>
      </c>
      <c r="AS20" s="2">
        <v>52042</v>
      </c>
      <c r="AT20" s="2"/>
      <c r="AU20" s="2"/>
      <c r="AV20">
        <f t="shared" si="2"/>
        <v>18000</v>
      </c>
    </row>
    <row r="21" spans="1:48" ht="30" x14ac:dyDescent="0.25">
      <c r="A21">
        <v>10</v>
      </c>
      <c r="B21" s="1" t="s">
        <v>11</v>
      </c>
      <c r="C21" s="2">
        <v>3000</v>
      </c>
      <c r="D21" s="34">
        <v>3000</v>
      </c>
      <c r="E21" s="2">
        <v>14000</v>
      </c>
      <c r="F21" s="2">
        <v>67500</v>
      </c>
      <c r="G21" s="2">
        <v>30000</v>
      </c>
      <c r="H21" s="34">
        <v>30000</v>
      </c>
      <c r="I21" s="2">
        <v>26335</v>
      </c>
      <c r="J21" s="2">
        <v>21150</v>
      </c>
      <c r="K21" s="2">
        <v>5000</v>
      </c>
      <c r="L21" s="34">
        <v>5000</v>
      </c>
      <c r="M21" s="2">
        <v>2000</v>
      </c>
      <c r="N21" s="2">
        <v>10000</v>
      </c>
      <c r="O21" s="34">
        <v>10000</v>
      </c>
      <c r="P21" s="2">
        <v>10000</v>
      </c>
      <c r="Q21" s="2">
        <v>34500</v>
      </c>
      <c r="R21" s="2">
        <v>19000</v>
      </c>
      <c r="S21" s="2">
        <v>10000</v>
      </c>
      <c r="T21" s="2">
        <v>35300</v>
      </c>
      <c r="U21" s="2">
        <v>32000</v>
      </c>
      <c r="V21" s="57">
        <f>Data_as_is!BG18</f>
        <v>12143.529411764706</v>
      </c>
      <c r="W21" s="2">
        <v>540000</v>
      </c>
      <c r="X21" s="2">
        <f>900+100+300</f>
        <v>1300</v>
      </c>
      <c r="Y21" s="2">
        <v>2500</v>
      </c>
      <c r="Z21" s="2">
        <v>15000</v>
      </c>
      <c r="AA21" s="2">
        <v>31000</v>
      </c>
      <c r="AB21" s="48">
        <v>31000</v>
      </c>
      <c r="AC21" s="2">
        <v>10000</v>
      </c>
      <c r="AD21" s="2">
        <v>13855</v>
      </c>
      <c r="AE21" s="2">
        <f>82000+4000</f>
        <v>86000</v>
      </c>
      <c r="AF21" s="2">
        <v>13000</v>
      </c>
      <c r="AG21" s="2">
        <v>69000</v>
      </c>
      <c r="AH21" s="48">
        <v>69000</v>
      </c>
      <c r="AI21" s="2">
        <v>160000</v>
      </c>
      <c r="AJ21" s="2">
        <v>60154</v>
      </c>
      <c r="AK21" s="2">
        <v>74000</v>
      </c>
      <c r="AL21" s="2">
        <f>AL19-AL20</f>
        <v>92471</v>
      </c>
      <c r="AM21" s="48">
        <f>AM19-AM20</f>
        <v>92471</v>
      </c>
      <c r="AN21" s="2"/>
      <c r="AO21" s="2">
        <v>350000</v>
      </c>
      <c r="AP21" s="2">
        <v>7000</v>
      </c>
      <c r="AQ21" s="2">
        <v>20000</v>
      </c>
      <c r="AR21" s="2">
        <v>20000</v>
      </c>
      <c r="AS21" s="2">
        <f>137958+12000</f>
        <v>149958</v>
      </c>
      <c r="AT21" s="2"/>
      <c r="AU21" s="2"/>
      <c r="AV21">
        <f t="shared" si="2"/>
        <v>540000</v>
      </c>
    </row>
    <row r="22" spans="1:48" ht="45" x14ac:dyDescent="0.25">
      <c r="A22">
        <v>11</v>
      </c>
      <c r="B22" s="13" t="s">
        <v>12</v>
      </c>
      <c r="C22" s="2" t="s">
        <v>38</v>
      </c>
      <c r="D22" s="34" t="s">
        <v>38</v>
      </c>
      <c r="E22" s="2" t="s">
        <v>38</v>
      </c>
      <c r="F22" s="2" t="s">
        <v>38</v>
      </c>
      <c r="G22" s="2" t="s">
        <v>38</v>
      </c>
      <c r="H22" s="34" t="s">
        <v>38</v>
      </c>
      <c r="I22" s="2" t="s">
        <v>38</v>
      </c>
      <c r="J22" s="2" t="s">
        <v>92</v>
      </c>
      <c r="K22" s="2" t="s">
        <v>38</v>
      </c>
      <c r="L22" s="34" t="s">
        <v>38</v>
      </c>
      <c r="M22" s="2" t="s">
        <v>38</v>
      </c>
      <c r="N22" s="2" t="s">
        <v>38</v>
      </c>
      <c r="O22" s="34" t="s">
        <v>38</v>
      </c>
      <c r="P22" s="7" t="s">
        <v>96</v>
      </c>
      <c r="Q22" s="7" t="s">
        <v>98</v>
      </c>
      <c r="R22" s="2" t="s">
        <v>38</v>
      </c>
      <c r="S22" s="2" t="s">
        <v>99</v>
      </c>
      <c r="T22" s="2" t="s">
        <v>38</v>
      </c>
      <c r="U22" s="7" t="s">
        <v>101</v>
      </c>
      <c r="V22" s="2"/>
      <c r="W22" s="2" t="s">
        <v>38</v>
      </c>
      <c r="X22" s="2"/>
      <c r="Y22" s="2"/>
      <c r="Z22" s="2" t="s">
        <v>38</v>
      </c>
      <c r="AA22" s="2" t="s">
        <v>105</v>
      </c>
      <c r="AB22" s="48" t="s">
        <v>105</v>
      </c>
      <c r="AC22" s="2" t="s">
        <v>38</v>
      </c>
      <c r="AD22" s="2" t="s">
        <v>38</v>
      </c>
      <c r="AE22" s="2" t="s">
        <v>109</v>
      </c>
      <c r="AF22" s="2" t="s">
        <v>110</v>
      </c>
      <c r="AG22" s="2"/>
      <c r="AH22" s="48"/>
      <c r="AI22" s="2" t="s">
        <v>155</v>
      </c>
      <c r="AJ22" s="2" t="s">
        <v>38</v>
      </c>
      <c r="AK22" s="2" t="s">
        <v>156</v>
      </c>
      <c r="AL22" s="2" t="s">
        <v>38</v>
      </c>
      <c r="AM22" s="48" t="s">
        <v>38</v>
      </c>
      <c r="AN22" s="2" t="s">
        <v>160</v>
      </c>
      <c r="AO22" s="2" t="s">
        <v>155</v>
      </c>
      <c r="AP22" s="2" t="s">
        <v>161</v>
      </c>
      <c r="AQ22" s="2" t="s">
        <v>38</v>
      </c>
      <c r="AR22" s="2" t="s">
        <v>38</v>
      </c>
      <c r="AS22" s="2" t="s">
        <v>38</v>
      </c>
      <c r="AT22" s="2"/>
      <c r="AU22" s="2"/>
      <c r="AV22" t="str">
        <f t="shared" si="2"/>
        <v>no</v>
      </c>
    </row>
    <row r="23" spans="1:48" x14ac:dyDescent="0.25">
      <c r="A23">
        <v>12</v>
      </c>
      <c r="B23" s="8" t="s">
        <v>13</v>
      </c>
      <c r="C23" s="2"/>
      <c r="D23" s="34"/>
      <c r="E23" s="2"/>
      <c r="F23" s="2"/>
      <c r="G23" s="2"/>
      <c r="H23" s="34"/>
      <c r="I23" s="2"/>
      <c r="J23" s="2">
        <v>2012</v>
      </c>
      <c r="K23" s="2"/>
      <c r="L23" s="34"/>
      <c r="M23" s="2"/>
      <c r="N23" s="2"/>
      <c r="O23" s="34"/>
      <c r="P23" s="2">
        <v>2012</v>
      </c>
      <c r="Q23" s="2">
        <v>2012</v>
      </c>
      <c r="R23" s="2"/>
      <c r="S23" s="2">
        <v>2012</v>
      </c>
      <c r="T23" s="2"/>
      <c r="U23" s="2">
        <v>2011</v>
      </c>
      <c r="V23" s="2"/>
      <c r="W23" s="2"/>
      <c r="X23" s="2"/>
      <c r="Y23" s="2"/>
      <c r="Z23" s="2"/>
      <c r="AA23" s="2">
        <v>2013</v>
      </c>
      <c r="AB23" s="48">
        <v>2013</v>
      </c>
      <c r="AC23" s="2"/>
      <c r="AD23" s="2"/>
      <c r="AE23" s="2"/>
      <c r="AF23" s="2">
        <v>2013</v>
      </c>
      <c r="AG23" s="2"/>
      <c r="AH23" s="48"/>
      <c r="AI23" s="2">
        <v>2009</v>
      </c>
      <c r="AJ23" s="2"/>
      <c r="AK23" s="2">
        <v>2012</v>
      </c>
      <c r="AL23" s="2"/>
      <c r="AM23" s="48"/>
      <c r="AN23" s="2"/>
      <c r="AO23" s="2"/>
      <c r="AP23" s="2">
        <v>2013</v>
      </c>
      <c r="AQ23" s="2"/>
      <c r="AR23" s="2"/>
      <c r="AS23" s="2"/>
      <c r="AT23" s="2"/>
      <c r="AU23" s="2"/>
      <c r="AV23">
        <f t="shared" si="2"/>
        <v>0</v>
      </c>
    </row>
    <row r="24" spans="1:48" x14ac:dyDescent="0.25">
      <c r="A24">
        <v>13</v>
      </c>
      <c r="B24" s="8" t="s">
        <v>14</v>
      </c>
      <c r="C24" s="2"/>
      <c r="D24" s="34"/>
      <c r="E24" s="2"/>
      <c r="F24" s="2"/>
      <c r="G24" s="2"/>
      <c r="H24" s="34"/>
      <c r="I24" s="2"/>
      <c r="J24" s="2">
        <v>2000</v>
      </c>
      <c r="K24" s="2"/>
      <c r="L24" s="34"/>
      <c r="M24" s="2"/>
      <c r="N24" s="2"/>
      <c r="O24" s="34"/>
      <c r="P24" s="2">
        <v>5000</v>
      </c>
      <c r="Q24" s="2">
        <v>27400</v>
      </c>
      <c r="R24" s="2"/>
      <c r="S24" s="2"/>
      <c r="T24" s="2"/>
      <c r="U24" s="2">
        <v>2000</v>
      </c>
      <c r="V24" s="2"/>
      <c r="W24" s="2"/>
      <c r="X24" s="2"/>
      <c r="Y24" s="2"/>
      <c r="Z24" s="2"/>
      <c r="AA24" s="2">
        <v>1800</v>
      </c>
      <c r="AB24" s="48">
        <v>1800</v>
      </c>
      <c r="AC24" s="2"/>
      <c r="AD24" s="2"/>
      <c r="AE24" s="2"/>
      <c r="AF24" s="2">
        <v>2000</v>
      </c>
      <c r="AG24" s="2"/>
      <c r="AH24" s="48"/>
      <c r="AI24" s="2">
        <v>750</v>
      </c>
      <c r="AJ24" s="2"/>
      <c r="AK24" s="2">
        <v>1500</v>
      </c>
      <c r="AL24" s="2"/>
      <c r="AM24" s="48"/>
      <c r="AN24" s="2"/>
      <c r="AO24" s="2"/>
      <c r="AP24" s="2">
        <v>1000</v>
      </c>
      <c r="AQ24" s="2"/>
      <c r="AR24" s="2"/>
      <c r="AS24" s="2"/>
      <c r="AT24" s="2"/>
      <c r="AU24" s="2"/>
      <c r="AV24">
        <f t="shared" si="2"/>
        <v>0</v>
      </c>
    </row>
    <row r="25" spans="1:48" x14ac:dyDescent="0.25">
      <c r="A25">
        <v>14</v>
      </c>
      <c r="B25" s="10" t="s">
        <v>15</v>
      </c>
      <c r="C25" s="2">
        <v>10</v>
      </c>
      <c r="D25" s="34">
        <v>10</v>
      </c>
      <c r="E25" s="2">
        <v>10</v>
      </c>
      <c r="F25" s="2">
        <v>12</v>
      </c>
      <c r="G25" s="2">
        <v>15</v>
      </c>
      <c r="H25" s="34">
        <v>15</v>
      </c>
      <c r="I25" s="2">
        <v>20</v>
      </c>
      <c r="J25" s="2">
        <v>10</v>
      </c>
      <c r="K25" s="2">
        <v>10</v>
      </c>
      <c r="L25" s="34">
        <v>10</v>
      </c>
      <c r="M25" s="2">
        <v>12.5</v>
      </c>
      <c r="N25" s="2">
        <v>10</v>
      </c>
      <c r="O25" s="34">
        <v>10</v>
      </c>
      <c r="P25" s="2">
        <v>20</v>
      </c>
      <c r="Q25" s="57">
        <f>Data_as_is!$AZ$25</f>
        <v>13.783333333333333</v>
      </c>
      <c r="R25" s="2">
        <v>15</v>
      </c>
      <c r="S25" s="2">
        <v>10</v>
      </c>
      <c r="T25" s="2">
        <v>10</v>
      </c>
      <c r="U25" s="2">
        <v>12.5</v>
      </c>
      <c r="V25" s="2">
        <v>10</v>
      </c>
      <c r="W25" s="2">
        <v>20</v>
      </c>
      <c r="X25" s="2">
        <v>20</v>
      </c>
      <c r="Y25" s="2">
        <v>10</v>
      </c>
      <c r="Z25" s="2">
        <v>15</v>
      </c>
      <c r="AA25" s="2">
        <v>15</v>
      </c>
      <c r="AB25" s="48">
        <v>15</v>
      </c>
      <c r="AC25" s="2">
        <v>10</v>
      </c>
      <c r="AD25" s="2">
        <v>17.5</v>
      </c>
      <c r="AE25" s="2">
        <v>15</v>
      </c>
      <c r="AF25" s="2">
        <v>12.5</v>
      </c>
      <c r="AG25" s="2">
        <v>10</v>
      </c>
      <c r="AH25" s="48">
        <v>10</v>
      </c>
      <c r="AI25" s="84">
        <f>Data_as_is!$AZ25</f>
        <v>13.783333333333333</v>
      </c>
      <c r="AJ25" s="2">
        <v>17.5</v>
      </c>
      <c r="AK25" s="84">
        <f>Data_as_is!$AZ25</f>
        <v>13.783333333333333</v>
      </c>
      <c r="AL25" s="2">
        <v>20</v>
      </c>
      <c r="AM25" s="48">
        <v>20</v>
      </c>
      <c r="AN25" s="84">
        <f>Data_as_is!$AZ25</f>
        <v>13.783333333333333</v>
      </c>
      <c r="AO25" s="84">
        <f>Data_as_is!$AZ25</f>
        <v>13.783333333333333</v>
      </c>
      <c r="AP25" s="2">
        <v>15</v>
      </c>
      <c r="AQ25" s="2">
        <v>9</v>
      </c>
      <c r="AR25" s="2">
        <v>9</v>
      </c>
      <c r="AS25" s="2">
        <v>20</v>
      </c>
      <c r="AT25" s="2"/>
      <c r="AU25" s="2"/>
      <c r="AV25">
        <f t="shared" si="2"/>
        <v>20</v>
      </c>
    </row>
    <row r="26" spans="1:48" ht="30" x14ac:dyDescent="0.25">
      <c r="A26">
        <v>15</v>
      </c>
      <c r="B26" s="8" t="s">
        <v>16</v>
      </c>
      <c r="C26" s="2">
        <v>20</v>
      </c>
      <c r="D26" s="34">
        <v>20</v>
      </c>
      <c r="E26" s="2">
        <v>30</v>
      </c>
      <c r="F26" s="2">
        <v>30</v>
      </c>
      <c r="G26" s="2">
        <v>40</v>
      </c>
      <c r="H26" s="34">
        <v>40</v>
      </c>
      <c r="I26" s="2">
        <v>20</v>
      </c>
      <c r="J26" s="2">
        <v>25</v>
      </c>
      <c r="K26" s="2">
        <v>20</v>
      </c>
      <c r="L26" s="34">
        <v>20</v>
      </c>
      <c r="M26" s="57">
        <f>Data_as_is!$AZ$26</f>
        <v>28.035714285714285</v>
      </c>
      <c r="N26" s="2">
        <v>20</v>
      </c>
      <c r="O26" s="34">
        <v>20</v>
      </c>
      <c r="P26" s="57">
        <f>Data_as_is!$AZ$26</f>
        <v>28.035714285714285</v>
      </c>
      <c r="Q26" s="2">
        <v>40</v>
      </c>
      <c r="R26" s="2">
        <v>25</v>
      </c>
      <c r="S26" s="2">
        <v>10</v>
      </c>
      <c r="T26" s="2">
        <v>20</v>
      </c>
      <c r="U26" s="2">
        <v>50</v>
      </c>
      <c r="V26" s="2">
        <v>20</v>
      </c>
      <c r="W26" s="57">
        <f>Data_as_is!$AZ$26</f>
        <v>28.035714285714285</v>
      </c>
      <c r="X26" s="2">
        <v>20</v>
      </c>
      <c r="Y26" s="2">
        <v>25</v>
      </c>
      <c r="Z26" s="2">
        <v>25</v>
      </c>
      <c r="AA26" s="2">
        <v>30</v>
      </c>
      <c r="AB26" s="48">
        <v>30</v>
      </c>
      <c r="AC26" s="57">
        <f>Data_as_is!$AZ$26</f>
        <v>28.035714285714285</v>
      </c>
      <c r="AD26" s="2">
        <v>50</v>
      </c>
      <c r="AE26" s="2">
        <v>40</v>
      </c>
      <c r="AF26" s="2">
        <v>25</v>
      </c>
      <c r="AG26" s="2">
        <v>10</v>
      </c>
      <c r="AH26" s="48">
        <v>10</v>
      </c>
      <c r="AI26" s="2">
        <v>15</v>
      </c>
      <c r="AJ26" s="2">
        <v>35</v>
      </c>
      <c r="AK26" s="2">
        <v>50</v>
      </c>
      <c r="AL26" s="2">
        <v>40</v>
      </c>
      <c r="AM26" s="48">
        <v>40</v>
      </c>
      <c r="AN26" s="84">
        <f>Data_as_is!$AZ26</f>
        <v>28.035714285714285</v>
      </c>
      <c r="AO26" s="84">
        <f>Data_as_is!$AZ26</f>
        <v>28.035714285714285</v>
      </c>
      <c r="AP26" s="84">
        <f>Data_as_is!$AZ26</f>
        <v>28.035714285714285</v>
      </c>
      <c r="AQ26" s="2">
        <v>20</v>
      </c>
      <c r="AR26" s="2">
        <v>20</v>
      </c>
      <c r="AS26" s="2">
        <v>25</v>
      </c>
      <c r="AT26" s="2"/>
      <c r="AU26" s="2"/>
      <c r="AV26">
        <f t="shared" si="2"/>
        <v>28.035714285714285</v>
      </c>
    </row>
    <row r="27" spans="1:48" ht="30" x14ac:dyDescent="0.25">
      <c r="A27">
        <v>16</v>
      </c>
      <c r="B27" s="8" t="s">
        <v>17</v>
      </c>
      <c r="C27" s="2"/>
      <c r="D27" s="34"/>
      <c r="E27" s="2"/>
      <c r="F27" s="2"/>
      <c r="G27" s="2"/>
      <c r="H27" s="34"/>
      <c r="I27" s="2"/>
      <c r="J27" s="2"/>
      <c r="K27" s="2"/>
      <c r="L27" s="34"/>
      <c r="M27" s="2"/>
      <c r="N27" s="2"/>
      <c r="O27" s="34"/>
      <c r="P27" s="2"/>
      <c r="Q27" s="2"/>
      <c r="R27" s="2"/>
      <c r="S27" s="2"/>
      <c r="T27" s="2"/>
      <c r="U27" s="2"/>
      <c r="V27" s="2"/>
      <c r="W27" s="2"/>
      <c r="X27" s="2"/>
      <c r="Y27" s="2"/>
      <c r="Z27" s="2"/>
      <c r="AA27" s="2">
        <v>15</v>
      </c>
      <c r="AB27" s="48">
        <v>15</v>
      </c>
      <c r="AC27" s="2"/>
      <c r="AD27" s="2"/>
      <c r="AE27" s="2"/>
      <c r="AF27" s="2">
        <v>12.5</v>
      </c>
      <c r="AG27" s="2"/>
      <c r="AH27" s="48"/>
      <c r="AI27" s="2"/>
      <c r="AJ27" s="2"/>
      <c r="AK27" s="2">
        <v>50</v>
      </c>
      <c r="AL27" s="2"/>
      <c r="AM27" s="48"/>
      <c r="AN27" s="2"/>
      <c r="AO27" s="2"/>
      <c r="AP27" s="2"/>
      <c r="AQ27" s="2"/>
      <c r="AR27" s="2"/>
      <c r="AS27" s="2"/>
      <c r="AT27" s="2"/>
      <c r="AU27" s="2"/>
      <c r="AV27">
        <f t="shared" si="2"/>
        <v>0</v>
      </c>
    </row>
    <row r="28" spans="1:48" x14ac:dyDescent="0.25">
      <c r="B28" s="11" t="s">
        <v>18</v>
      </c>
      <c r="C28" s="2"/>
      <c r="D28" s="34"/>
      <c r="E28" s="2"/>
      <c r="F28" s="2"/>
      <c r="G28" s="2"/>
      <c r="H28" s="34"/>
      <c r="I28" s="2"/>
      <c r="J28" s="2"/>
      <c r="K28" s="2"/>
      <c r="L28" s="34"/>
      <c r="M28" s="2"/>
      <c r="N28" s="2"/>
      <c r="O28" s="34"/>
      <c r="P28" s="2"/>
      <c r="Q28" s="2"/>
      <c r="R28" s="2"/>
      <c r="S28" s="2"/>
      <c r="T28" s="2"/>
      <c r="U28" s="2"/>
      <c r="V28" s="2"/>
      <c r="W28" s="2"/>
      <c r="X28" s="2"/>
      <c r="Y28" s="2"/>
      <c r="Z28" s="2"/>
      <c r="AA28" s="2"/>
      <c r="AB28" s="48"/>
      <c r="AC28" s="2"/>
      <c r="AD28" s="2"/>
      <c r="AE28" s="2"/>
      <c r="AF28" s="2"/>
      <c r="AG28" s="2"/>
      <c r="AH28" s="48"/>
      <c r="AI28" s="2"/>
      <c r="AJ28" s="2"/>
      <c r="AK28" s="2"/>
      <c r="AL28" s="2"/>
      <c r="AM28" s="48"/>
      <c r="AN28" s="2"/>
      <c r="AO28" s="2"/>
      <c r="AP28" s="2"/>
      <c r="AQ28" s="2"/>
      <c r="AR28" s="2"/>
      <c r="AS28" s="2"/>
      <c r="AT28" s="2"/>
      <c r="AU28" s="2"/>
      <c r="AV28">
        <f t="shared" si="2"/>
        <v>0</v>
      </c>
    </row>
    <row r="29" spans="1:48" ht="45" x14ac:dyDescent="0.25">
      <c r="A29">
        <v>17</v>
      </c>
      <c r="B29" s="1" t="s">
        <v>19</v>
      </c>
      <c r="C29" s="2">
        <v>250</v>
      </c>
      <c r="D29" s="34">
        <v>250</v>
      </c>
      <c r="E29" s="2">
        <v>500</v>
      </c>
      <c r="F29" s="2">
        <v>250</v>
      </c>
      <c r="G29" s="2">
        <v>1000</v>
      </c>
      <c r="H29" s="34">
        <v>1000</v>
      </c>
      <c r="I29" s="2">
        <v>500</v>
      </c>
      <c r="J29" s="2">
        <v>350</v>
      </c>
      <c r="K29" s="2">
        <v>250</v>
      </c>
      <c r="L29" s="34">
        <v>250</v>
      </c>
      <c r="M29" s="2">
        <v>100</v>
      </c>
      <c r="N29" s="2"/>
      <c r="O29" s="34"/>
      <c r="P29" s="2">
        <v>500</v>
      </c>
      <c r="Q29" s="2">
        <v>500</v>
      </c>
      <c r="R29" s="2">
        <v>200</v>
      </c>
      <c r="S29" s="2">
        <v>9470</v>
      </c>
      <c r="T29" s="2">
        <v>450</v>
      </c>
      <c r="U29" s="2">
        <v>200</v>
      </c>
      <c r="V29" s="2">
        <v>130</v>
      </c>
      <c r="W29" s="2">
        <v>30000</v>
      </c>
      <c r="X29" s="2">
        <v>1600</v>
      </c>
      <c r="Y29" s="2">
        <v>250</v>
      </c>
      <c r="Z29" s="2">
        <f>25*12</f>
        <v>300</v>
      </c>
      <c r="AA29" s="2">
        <v>500</v>
      </c>
      <c r="AB29" s="48">
        <v>500</v>
      </c>
      <c r="AC29" s="2"/>
      <c r="AD29" s="2">
        <v>225</v>
      </c>
      <c r="AE29" s="2"/>
      <c r="AF29" s="2">
        <v>1500</v>
      </c>
      <c r="AG29" s="2">
        <v>2500</v>
      </c>
      <c r="AH29" s="48">
        <v>2500</v>
      </c>
      <c r="AI29" s="2">
        <v>500</v>
      </c>
      <c r="AJ29" s="2">
        <v>150</v>
      </c>
      <c r="AK29" s="2">
        <v>0</v>
      </c>
      <c r="AL29" s="84">
        <f>Data_as_is!$AZ29</f>
        <v>1978.6428571428571</v>
      </c>
      <c r="AM29" s="48"/>
      <c r="AN29" s="2">
        <v>500</v>
      </c>
      <c r="AO29" s="84">
        <f>Data_as_is!$AZ29</f>
        <v>1978.6428571428571</v>
      </c>
      <c r="AP29" s="84">
        <f>Data_as_is!$AZ29</f>
        <v>1978.6428571428571</v>
      </c>
      <c r="AQ29" s="2">
        <v>2000</v>
      </c>
      <c r="AR29" s="2">
        <v>2000</v>
      </c>
      <c r="AS29" s="2">
        <v>727</v>
      </c>
      <c r="AT29" s="2"/>
      <c r="AU29" s="2"/>
      <c r="AV29">
        <f t="shared" si="2"/>
        <v>30000</v>
      </c>
    </row>
    <row r="30" spans="1:48" ht="30" x14ac:dyDescent="0.25">
      <c r="A30">
        <v>18</v>
      </c>
      <c r="B30" s="6" t="s">
        <v>20</v>
      </c>
      <c r="C30" s="2">
        <v>4000</v>
      </c>
      <c r="D30" s="34">
        <v>4000</v>
      </c>
      <c r="E30" s="2">
        <v>100</v>
      </c>
      <c r="F30" s="2">
        <v>0</v>
      </c>
      <c r="G30" s="2">
        <v>100</v>
      </c>
      <c r="H30" s="34">
        <v>100</v>
      </c>
      <c r="I30" s="2">
        <v>0</v>
      </c>
      <c r="J30" s="2">
        <v>0</v>
      </c>
      <c r="K30" s="2">
        <v>100</v>
      </c>
      <c r="L30" s="34">
        <v>100</v>
      </c>
      <c r="M30" s="2">
        <v>0</v>
      </c>
      <c r="N30" s="2"/>
      <c r="O30" s="34"/>
      <c r="P30" s="2"/>
      <c r="Q30" s="2">
        <v>200</v>
      </c>
      <c r="R30" s="2">
        <v>200</v>
      </c>
      <c r="S30" s="2"/>
      <c r="T30" s="2">
        <v>0</v>
      </c>
      <c r="U30" s="2">
        <v>500</v>
      </c>
      <c r="V30" s="2"/>
      <c r="W30" s="2"/>
      <c r="X30" s="2"/>
      <c r="Y30" s="2">
        <v>500</v>
      </c>
      <c r="Z30" s="2"/>
      <c r="AA30" s="2">
        <v>100</v>
      </c>
      <c r="AB30" s="48">
        <v>100</v>
      </c>
      <c r="AC30" s="2"/>
      <c r="AD30" s="2">
        <v>0</v>
      </c>
      <c r="AE30" s="2">
        <v>0</v>
      </c>
      <c r="AF30" s="2">
        <v>1000</v>
      </c>
      <c r="AG30" s="2">
        <v>1500</v>
      </c>
      <c r="AH30" s="48">
        <v>1500</v>
      </c>
      <c r="AI30" s="2">
        <v>200</v>
      </c>
      <c r="AJ30" s="2">
        <v>100</v>
      </c>
      <c r="AK30" s="2">
        <v>0</v>
      </c>
      <c r="AL30" s="2">
        <v>300</v>
      </c>
      <c r="AM30" s="48">
        <v>300</v>
      </c>
      <c r="AN30" s="2">
        <v>0</v>
      </c>
      <c r="AO30" s="84">
        <f>Data_as_is!$AZ30</f>
        <v>626.66666666666663</v>
      </c>
      <c r="AP30" s="84">
        <f>Data_as_is!$AZ30</f>
        <v>626.66666666666663</v>
      </c>
      <c r="AQ30" s="2">
        <v>500</v>
      </c>
      <c r="AR30" s="2">
        <v>500</v>
      </c>
      <c r="AS30" s="2"/>
      <c r="AT30" s="2"/>
      <c r="AU30" s="2"/>
      <c r="AV30">
        <f t="shared" si="2"/>
        <v>0</v>
      </c>
    </row>
    <row r="31" spans="1:48" ht="30" x14ac:dyDescent="0.25">
      <c r="A31">
        <v>19</v>
      </c>
      <c r="B31" s="1" t="s">
        <v>90</v>
      </c>
      <c r="C31" s="2">
        <v>2.5</v>
      </c>
      <c r="D31" s="34">
        <f>C31*4</f>
        <v>10</v>
      </c>
      <c r="E31" s="2">
        <v>0.5</v>
      </c>
      <c r="F31" s="2">
        <v>0.75</v>
      </c>
      <c r="G31" s="2">
        <v>1</v>
      </c>
      <c r="H31" s="34">
        <v>1</v>
      </c>
      <c r="I31" s="2">
        <f>2+2/7</f>
        <v>2.2857142857142856</v>
      </c>
      <c r="J31" s="2">
        <v>1</v>
      </c>
      <c r="K31" s="84">
        <f>Data_as_is!$AZ31</f>
        <v>2.0253348214285714</v>
      </c>
      <c r="L31" s="34"/>
      <c r="M31" s="2">
        <v>0.5</v>
      </c>
      <c r="N31" s="2">
        <v>2</v>
      </c>
      <c r="O31" s="34">
        <v>2</v>
      </c>
      <c r="P31" s="2">
        <v>1</v>
      </c>
      <c r="Q31" s="2">
        <v>1.5</v>
      </c>
      <c r="R31" s="2">
        <v>0.5</v>
      </c>
      <c r="S31" s="2">
        <f>200/60</f>
        <v>3.3333333333333335</v>
      </c>
      <c r="T31" s="2">
        <f>10/60</f>
        <v>0.16666666666666666</v>
      </c>
      <c r="U31" s="2">
        <v>1.25</v>
      </c>
      <c r="V31" s="2">
        <f>35/60</f>
        <v>0.58333333333333337</v>
      </c>
      <c r="W31" s="2">
        <v>4</v>
      </c>
      <c r="X31" s="2"/>
      <c r="Y31" s="2">
        <v>3</v>
      </c>
      <c r="Z31" s="2">
        <v>0.75</v>
      </c>
      <c r="AA31" s="2">
        <f>10/60</f>
        <v>0.16666666666666666</v>
      </c>
      <c r="AB31" s="48">
        <v>0.16666666666666666</v>
      </c>
      <c r="AC31" s="2">
        <v>1</v>
      </c>
      <c r="AD31" s="2">
        <f>1/3</f>
        <v>0.33333333333333331</v>
      </c>
      <c r="AE31" s="2">
        <v>1</v>
      </c>
      <c r="AF31" s="2">
        <v>0.75</v>
      </c>
      <c r="AG31" s="2">
        <v>2.5</v>
      </c>
      <c r="AH31" s="48">
        <v>2.5</v>
      </c>
      <c r="AI31" s="2">
        <v>0.5</v>
      </c>
      <c r="AJ31" s="2">
        <f>22.5/60</f>
        <v>0.375</v>
      </c>
      <c r="AK31" s="2">
        <f>(3.5*3+2*2)/7+1.5</f>
        <v>3.5714285714285716</v>
      </c>
      <c r="AL31" s="78">
        <f>34/60</f>
        <v>0.56666666666666665</v>
      </c>
      <c r="AM31" s="48">
        <f>34/60</f>
        <v>0.56666666666666665</v>
      </c>
      <c r="AN31" s="2">
        <v>2</v>
      </c>
      <c r="AO31" s="2">
        <v>10</v>
      </c>
      <c r="AP31" s="2"/>
      <c r="AQ31" s="2">
        <f>240*2/60</f>
        <v>8</v>
      </c>
      <c r="AR31" s="2">
        <f>240*2/60</f>
        <v>8</v>
      </c>
      <c r="AS31" s="2">
        <f>(8*5+6*2)/7</f>
        <v>7.4285714285714288</v>
      </c>
      <c r="AT31" s="2"/>
      <c r="AU31" s="2"/>
      <c r="AV31">
        <f t="shared" si="2"/>
        <v>4</v>
      </c>
    </row>
    <row r="32" spans="1:48" ht="45" x14ac:dyDescent="0.25">
      <c r="A32">
        <v>20</v>
      </c>
      <c r="B32" s="1" t="s">
        <v>21</v>
      </c>
      <c r="C32" s="2">
        <v>5.5</v>
      </c>
      <c r="D32" s="34">
        <f>C32*4</f>
        <v>22</v>
      </c>
      <c r="E32" s="2">
        <v>0</v>
      </c>
      <c r="F32" s="2">
        <v>2</v>
      </c>
      <c r="G32" s="2">
        <v>2</v>
      </c>
      <c r="H32" s="34">
        <v>2</v>
      </c>
      <c r="I32" s="2">
        <v>0</v>
      </c>
      <c r="J32" s="2">
        <v>0</v>
      </c>
      <c r="K32" s="2">
        <v>2</v>
      </c>
      <c r="L32" s="34">
        <v>2</v>
      </c>
      <c r="M32" s="2">
        <v>1</v>
      </c>
      <c r="N32" s="2">
        <v>12</v>
      </c>
      <c r="O32" s="34">
        <v>12</v>
      </c>
      <c r="P32" s="2">
        <v>2</v>
      </c>
      <c r="Q32" s="2">
        <v>180</v>
      </c>
      <c r="R32" s="2">
        <v>5</v>
      </c>
      <c r="S32" s="2">
        <v>15</v>
      </c>
      <c r="T32" s="2">
        <v>8</v>
      </c>
      <c r="U32" s="2">
        <v>6</v>
      </c>
      <c r="V32" s="2">
        <v>2</v>
      </c>
      <c r="W32" s="2">
        <v>25</v>
      </c>
      <c r="X32" s="2">
        <v>10</v>
      </c>
      <c r="Y32" s="2">
        <v>50</v>
      </c>
      <c r="Z32" s="2">
        <v>0</v>
      </c>
      <c r="AA32" s="2">
        <v>4</v>
      </c>
      <c r="AB32" s="48">
        <v>4</v>
      </c>
      <c r="AC32" s="2">
        <v>0</v>
      </c>
      <c r="AD32" s="2">
        <v>0</v>
      </c>
      <c r="AE32" s="2"/>
      <c r="AF32" s="2">
        <v>7.5</v>
      </c>
      <c r="AG32" s="2">
        <v>25</v>
      </c>
      <c r="AH32" s="48">
        <v>25</v>
      </c>
      <c r="AI32" s="2">
        <v>2</v>
      </c>
      <c r="AJ32" s="2">
        <v>3</v>
      </c>
      <c r="AK32" s="2">
        <v>12.5</v>
      </c>
      <c r="AL32" s="2">
        <v>300</v>
      </c>
      <c r="AM32" s="48">
        <v>300</v>
      </c>
      <c r="AN32" s="84">
        <f>Data_as_is!$AZ32</f>
        <v>27.86</v>
      </c>
      <c r="AO32" s="84">
        <f>Data_as_is!$AZ32</f>
        <v>27.86</v>
      </c>
      <c r="AP32" s="2">
        <v>3</v>
      </c>
      <c r="AQ32" s="2">
        <v>12</v>
      </c>
      <c r="AR32" s="2">
        <v>12</v>
      </c>
      <c r="AS32" s="2">
        <v>0</v>
      </c>
      <c r="AT32" s="2"/>
      <c r="AU32" s="2"/>
      <c r="AV32">
        <f t="shared" si="2"/>
        <v>25</v>
      </c>
    </row>
    <row r="33" spans="1:48" ht="45" x14ac:dyDescent="0.25">
      <c r="A33">
        <v>21</v>
      </c>
      <c r="B33" s="5" t="s">
        <v>22</v>
      </c>
      <c r="C33" s="2" t="s">
        <v>36</v>
      </c>
      <c r="D33" s="34" t="s">
        <v>36</v>
      </c>
      <c r="E33" s="2" t="s">
        <v>36</v>
      </c>
      <c r="F33" s="2" t="s">
        <v>36</v>
      </c>
      <c r="G33" s="2" t="s">
        <v>36</v>
      </c>
      <c r="H33" s="2" t="s">
        <v>36</v>
      </c>
      <c r="I33" s="2" t="s">
        <v>36</v>
      </c>
      <c r="J33" s="2" t="s">
        <v>36</v>
      </c>
      <c r="K33" s="2">
        <v>240</v>
      </c>
      <c r="L33" s="34">
        <v>240</v>
      </c>
      <c r="M33" s="2" t="s">
        <v>36</v>
      </c>
      <c r="N33" s="2" t="s">
        <v>36</v>
      </c>
      <c r="O33" s="34" t="s">
        <v>36</v>
      </c>
      <c r="P33" s="2">
        <v>1</v>
      </c>
      <c r="Q33" s="2" t="s">
        <v>36</v>
      </c>
      <c r="R33" s="2" t="s">
        <v>36</v>
      </c>
      <c r="S33" s="2" t="s">
        <v>36</v>
      </c>
      <c r="T33" s="2" t="s">
        <v>38</v>
      </c>
      <c r="U33" s="2" t="s">
        <v>36</v>
      </c>
      <c r="V33" s="2" t="s">
        <v>36</v>
      </c>
      <c r="W33" s="2" t="s">
        <v>36</v>
      </c>
      <c r="X33" s="2"/>
      <c r="Y33" s="2"/>
      <c r="Z33" s="2" t="s">
        <v>36</v>
      </c>
      <c r="AA33" s="2" t="s">
        <v>36</v>
      </c>
      <c r="AB33" s="48" t="s">
        <v>36</v>
      </c>
      <c r="AC33" s="2" t="s">
        <v>36</v>
      </c>
      <c r="AD33" s="2"/>
      <c r="AE33" s="2"/>
      <c r="AF33" s="2"/>
      <c r="AG33" s="2"/>
      <c r="AH33" s="48"/>
      <c r="AI33" s="2"/>
      <c r="AJ33" s="2" t="s">
        <v>36</v>
      </c>
      <c r="AK33" s="2" t="s">
        <v>36</v>
      </c>
      <c r="AL33" s="2" t="s">
        <v>36</v>
      </c>
      <c r="AM33" s="48" t="s">
        <v>36</v>
      </c>
      <c r="AN33" s="2"/>
      <c r="AO33" s="2"/>
      <c r="AP33" s="2"/>
      <c r="AQ33" s="2"/>
      <c r="AR33" s="2"/>
      <c r="AS33" s="2" t="s">
        <v>36</v>
      </c>
      <c r="AT33" s="2"/>
      <c r="AU33" s="2"/>
      <c r="AV33" t="str">
        <f t="shared" si="2"/>
        <v>yes</v>
      </c>
    </row>
    <row r="34" spans="1:48" ht="45" x14ac:dyDescent="0.25">
      <c r="A34">
        <v>22</v>
      </c>
      <c r="B34" s="1" t="s">
        <v>23</v>
      </c>
      <c r="C34" s="53">
        <v>25</v>
      </c>
      <c r="D34" s="54">
        <v>25</v>
      </c>
      <c r="E34" s="53">
        <v>25</v>
      </c>
      <c r="F34" s="53">
        <v>22.5</v>
      </c>
      <c r="G34" s="53">
        <v>8.5</v>
      </c>
      <c r="H34" s="54">
        <v>8.5</v>
      </c>
      <c r="I34" s="53">
        <v>15</v>
      </c>
      <c r="J34" s="84">
        <f>Data_as_is!$AZ34</f>
        <v>16.251851851851853</v>
      </c>
      <c r="K34" s="53">
        <v>15</v>
      </c>
      <c r="L34" s="54">
        <v>15</v>
      </c>
      <c r="M34" s="84">
        <f>Data_as_is!$AZ34</f>
        <v>16.251851851851853</v>
      </c>
      <c r="N34" s="84">
        <f>Data_as_is!$AZ34</f>
        <v>16.251851851851853</v>
      </c>
      <c r="O34" s="84">
        <f>Data_as_is!$AZ34</f>
        <v>16.251851851851853</v>
      </c>
      <c r="P34" s="84">
        <f>Data_as_is!$AZ34</f>
        <v>16.251851851851853</v>
      </c>
      <c r="Q34" s="53">
        <v>14</v>
      </c>
      <c r="R34" s="53">
        <v>10</v>
      </c>
      <c r="S34" s="53">
        <v>10</v>
      </c>
      <c r="T34" s="53">
        <v>15</v>
      </c>
      <c r="U34" s="53">
        <v>18</v>
      </c>
      <c r="V34" s="53">
        <v>17.5</v>
      </c>
      <c r="W34" s="53">
        <v>20</v>
      </c>
      <c r="X34" s="84">
        <f>Data_as_is!$AZ34</f>
        <v>16.251851851851853</v>
      </c>
      <c r="Y34" s="53">
        <v>25</v>
      </c>
      <c r="Z34" s="53">
        <v>25</v>
      </c>
      <c r="AA34" s="53">
        <v>15</v>
      </c>
      <c r="AB34" s="55">
        <v>15</v>
      </c>
      <c r="AC34" s="53">
        <v>15</v>
      </c>
      <c r="AD34" s="53">
        <v>15</v>
      </c>
      <c r="AE34" s="84">
        <f>Data_as_is!$AZ34</f>
        <v>16.251851851851853</v>
      </c>
      <c r="AF34" s="84">
        <f>Data_as_is!$AZ34</f>
        <v>16.251851851851853</v>
      </c>
      <c r="AG34" s="53">
        <v>25</v>
      </c>
      <c r="AH34" s="55">
        <v>25</v>
      </c>
      <c r="AI34" s="53">
        <f>100/8</f>
        <v>12.5</v>
      </c>
      <c r="AJ34" s="53">
        <v>13</v>
      </c>
      <c r="AK34" s="53">
        <v>14</v>
      </c>
      <c r="AL34" s="53">
        <v>13</v>
      </c>
      <c r="AM34" s="55">
        <v>13</v>
      </c>
      <c r="AN34" s="53">
        <v>12</v>
      </c>
      <c r="AO34" s="84">
        <f>Data_as_is!$AZ34</f>
        <v>16.251851851851853</v>
      </c>
      <c r="AP34" s="53">
        <v>11</v>
      </c>
      <c r="AQ34" s="53">
        <v>12</v>
      </c>
      <c r="AR34" s="53">
        <v>12</v>
      </c>
      <c r="AS34" s="53">
        <v>15.8</v>
      </c>
      <c r="AT34" s="53"/>
      <c r="AU34" s="53"/>
      <c r="AV34" s="23">
        <f t="shared" si="2"/>
        <v>20</v>
      </c>
    </row>
    <row r="35" spans="1:48" x14ac:dyDescent="0.25">
      <c r="B35" s="3" t="s">
        <v>24</v>
      </c>
      <c r="C35" s="7"/>
      <c r="D35" s="35"/>
      <c r="E35" s="7"/>
      <c r="F35" s="7"/>
      <c r="G35" s="7"/>
      <c r="H35" s="35"/>
      <c r="I35" s="7"/>
      <c r="J35" s="7"/>
      <c r="K35" s="7"/>
      <c r="L35" s="35"/>
      <c r="M35" s="7"/>
      <c r="N35" s="7"/>
      <c r="O35" s="35"/>
      <c r="P35" s="7"/>
      <c r="Q35" s="7"/>
      <c r="R35" s="7"/>
      <c r="S35" s="7"/>
      <c r="T35" s="7"/>
      <c r="U35" s="7"/>
      <c r="V35" s="7"/>
      <c r="W35" s="7"/>
      <c r="X35" s="7"/>
      <c r="Y35" s="7"/>
      <c r="Z35" s="7"/>
      <c r="AA35" s="7"/>
      <c r="AB35" s="49"/>
      <c r="AC35" s="7"/>
      <c r="AD35" s="7"/>
      <c r="AE35" s="7"/>
      <c r="AF35" s="7"/>
      <c r="AG35" s="7"/>
      <c r="AH35" s="49"/>
      <c r="AI35" s="7"/>
      <c r="AJ35" s="7"/>
      <c r="AK35" s="7"/>
      <c r="AL35" s="7"/>
      <c r="AM35" s="49"/>
      <c r="AN35" s="7"/>
      <c r="AO35" s="7"/>
      <c r="AP35" s="7"/>
      <c r="AQ35" s="7"/>
      <c r="AR35" s="7"/>
      <c r="AS35" s="7"/>
      <c r="AT35" s="7"/>
      <c r="AU35" s="7"/>
      <c r="AV35">
        <f t="shared" si="2"/>
        <v>0</v>
      </c>
    </row>
    <row r="36" spans="1:48" x14ac:dyDescent="0.25">
      <c r="A36">
        <v>34</v>
      </c>
      <c r="B36" s="1" t="s">
        <v>25</v>
      </c>
      <c r="C36" s="31">
        <v>0.02</v>
      </c>
      <c r="D36" s="36">
        <v>0.02</v>
      </c>
      <c r="E36" s="31">
        <v>0</v>
      </c>
      <c r="F36" s="31">
        <f>7/(134*3.5)</f>
        <v>1.4925373134328358E-2</v>
      </c>
      <c r="G36" s="31">
        <v>0.01</v>
      </c>
      <c r="H36" s="36">
        <v>0.01</v>
      </c>
      <c r="I36" s="31">
        <v>0.03</v>
      </c>
      <c r="J36" s="31">
        <v>0.05</v>
      </c>
      <c r="K36" s="31">
        <v>0.05</v>
      </c>
      <c r="L36" s="36">
        <v>0.05</v>
      </c>
      <c r="M36" s="31">
        <v>0.05</v>
      </c>
      <c r="N36" s="31">
        <v>0.02</v>
      </c>
      <c r="O36" s="36">
        <v>0.02</v>
      </c>
      <c r="P36" s="31">
        <v>0.01</v>
      </c>
      <c r="Q36" s="31">
        <v>0.03</v>
      </c>
      <c r="R36" s="31">
        <v>0.01</v>
      </c>
      <c r="S36" s="31">
        <v>3.2000000000000001E-2</v>
      </c>
      <c r="T36" s="31">
        <v>0.01</v>
      </c>
      <c r="U36" s="63">
        <f>Data_as_is!AZ36</f>
        <v>2.9707042910447776E-2</v>
      </c>
      <c r="V36" s="31">
        <v>0.06</v>
      </c>
      <c r="W36" s="31">
        <v>0.05</v>
      </c>
      <c r="X36" s="31">
        <v>0.05</v>
      </c>
      <c r="Y36" s="31">
        <v>0.02</v>
      </c>
      <c r="Z36" s="31">
        <v>0.04</v>
      </c>
      <c r="AA36" s="31">
        <v>5.0000000000000001E-3</v>
      </c>
      <c r="AB36" s="50">
        <v>5.0000000000000001E-3</v>
      </c>
      <c r="AC36" s="31">
        <v>0.02</v>
      </c>
      <c r="AD36" s="31">
        <v>7.0000000000000007E-2</v>
      </c>
      <c r="AE36" s="31">
        <v>0.02</v>
      </c>
      <c r="AF36" s="31">
        <v>0.03</v>
      </c>
      <c r="AG36" s="31">
        <v>0.02</v>
      </c>
      <c r="AH36" s="50">
        <v>0.02</v>
      </c>
      <c r="AI36" s="31">
        <v>0.01</v>
      </c>
      <c r="AJ36" s="31">
        <v>0.03</v>
      </c>
      <c r="AK36" s="31">
        <v>5.8700000000000002E-2</v>
      </c>
      <c r="AL36" s="31">
        <v>0.02</v>
      </c>
      <c r="AM36" s="50">
        <v>0.02</v>
      </c>
      <c r="AN36" s="31">
        <v>0.01</v>
      </c>
      <c r="AO36" s="31">
        <v>7.0000000000000007E-2</v>
      </c>
      <c r="AP36" s="31">
        <v>0.01</v>
      </c>
      <c r="AQ36" s="31">
        <v>0.02</v>
      </c>
      <c r="AR36" s="31">
        <v>0.02</v>
      </c>
      <c r="AS36" s="31"/>
      <c r="AT36" s="31"/>
      <c r="AU36" s="31"/>
      <c r="AV36" s="27">
        <f t="shared" si="2"/>
        <v>0.05</v>
      </c>
    </row>
    <row r="37" spans="1:48" x14ac:dyDescent="0.25">
      <c r="A37">
        <v>35</v>
      </c>
      <c r="B37" s="1" t="s">
        <v>26</v>
      </c>
      <c r="C37" s="7">
        <v>200</v>
      </c>
      <c r="D37" s="35">
        <v>200</v>
      </c>
      <c r="E37" s="59">
        <f>Data_as_is!AV37</f>
        <v>300</v>
      </c>
      <c r="F37" s="7">
        <v>250</v>
      </c>
      <c r="G37" s="7">
        <v>150</v>
      </c>
      <c r="H37" s="35">
        <v>150</v>
      </c>
      <c r="I37" s="7">
        <v>250</v>
      </c>
      <c r="J37" s="7">
        <v>100</v>
      </c>
      <c r="K37" s="7">
        <v>120</v>
      </c>
      <c r="L37" s="35">
        <v>120</v>
      </c>
      <c r="M37" s="7">
        <v>150</v>
      </c>
      <c r="N37" s="7">
        <v>200</v>
      </c>
      <c r="O37" s="35">
        <v>200</v>
      </c>
      <c r="P37" s="7">
        <v>150</v>
      </c>
      <c r="Q37" s="7">
        <v>80</v>
      </c>
      <c r="R37" s="7">
        <v>100</v>
      </c>
      <c r="S37" s="7">
        <v>150</v>
      </c>
      <c r="T37" s="7">
        <v>300</v>
      </c>
      <c r="U37" s="62">
        <f>Data_as_is!$AZ$37</f>
        <v>173</v>
      </c>
      <c r="V37" s="7">
        <v>150</v>
      </c>
      <c r="W37" s="7">
        <v>300</v>
      </c>
      <c r="X37" s="62">
        <f>Data_as_is!$AZ$37</f>
        <v>173</v>
      </c>
      <c r="Y37" s="7">
        <v>115</v>
      </c>
      <c r="Z37" s="7">
        <v>150</v>
      </c>
      <c r="AA37" s="7">
        <v>300</v>
      </c>
      <c r="AB37" s="49">
        <v>300</v>
      </c>
      <c r="AC37" s="7">
        <v>100</v>
      </c>
      <c r="AD37" s="7">
        <v>100</v>
      </c>
      <c r="AE37" s="7">
        <v>100</v>
      </c>
      <c r="AF37" s="7">
        <v>150</v>
      </c>
      <c r="AG37" s="7">
        <v>200</v>
      </c>
      <c r="AH37" s="49">
        <v>200</v>
      </c>
      <c r="AI37" s="7">
        <v>275</v>
      </c>
      <c r="AJ37" s="7">
        <v>150</v>
      </c>
      <c r="AK37" s="7">
        <v>200</v>
      </c>
      <c r="AL37" s="7">
        <v>200</v>
      </c>
      <c r="AM37" s="49">
        <v>200</v>
      </c>
      <c r="AN37" s="84">
        <f>Data_as_is!$AZ37</f>
        <v>173</v>
      </c>
      <c r="AO37" s="84">
        <f>Data_as_is!$AZ37</f>
        <v>173</v>
      </c>
      <c r="AP37" s="7">
        <v>300</v>
      </c>
      <c r="AQ37" s="7">
        <v>100</v>
      </c>
      <c r="AR37" s="7">
        <v>100</v>
      </c>
      <c r="AS37" s="7">
        <v>100</v>
      </c>
      <c r="AT37" s="7"/>
      <c r="AU37" s="7"/>
      <c r="AV37">
        <f t="shared" si="2"/>
        <v>300</v>
      </c>
    </row>
    <row r="38" spans="1:48" x14ac:dyDescent="0.25">
      <c r="A38">
        <v>36</v>
      </c>
      <c r="B38" s="1" t="s">
        <v>27</v>
      </c>
      <c r="C38" s="7">
        <v>400</v>
      </c>
      <c r="D38" s="35">
        <v>400</v>
      </c>
      <c r="E38" s="59">
        <f>Data_as_is!AV38</f>
        <v>500</v>
      </c>
      <c r="F38" s="7">
        <v>500</v>
      </c>
      <c r="G38" s="7">
        <v>300</v>
      </c>
      <c r="H38" s="35">
        <v>300</v>
      </c>
      <c r="I38" s="7">
        <v>350</v>
      </c>
      <c r="J38" s="7">
        <v>300</v>
      </c>
      <c r="K38" s="7">
        <v>300</v>
      </c>
      <c r="L38" s="35">
        <v>300</v>
      </c>
      <c r="M38" s="7">
        <v>400</v>
      </c>
      <c r="N38" s="7">
        <v>400</v>
      </c>
      <c r="O38" s="35">
        <v>400</v>
      </c>
      <c r="P38" s="7">
        <v>300</v>
      </c>
      <c r="Q38" s="7">
        <v>350</v>
      </c>
      <c r="R38" s="7">
        <v>225</v>
      </c>
      <c r="S38" s="7">
        <v>325</v>
      </c>
      <c r="T38" s="7">
        <v>500</v>
      </c>
      <c r="U38" s="62">
        <f>Data_as_is!$AZ$38</f>
        <v>358.4</v>
      </c>
      <c r="V38" s="7">
        <v>350</v>
      </c>
      <c r="W38" s="7">
        <v>400</v>
      </c>
      <c r="X38" s="62">
        <f>Data_as_is!$AZ$38</f>
        <v>358.4</v>
      </c>
      <c r="Y38" s="7">
        <v>250</v>
      </c>
      <c r="Z38" s="7">
        <v>320</v>
      </c>
      <c r="AA38" s="7">
        <v>500</v>
      </c>
      <c r="AB38" s="49">
        <v>500</v>
      </c>
      <c r="AC38" s="7">
        <v>300</v>
      </c>
      <c r="AD38" s="7">
        <v>250</v>
      </c>
      <c r="AE38" s="7">
        <v>250</v>
      </c>
      <c r="AF38" s="7">
        <v>375</v>
      </c>
      <c r="AG38" s="7">
        <v>450</v>
      </c>
      <c r="AH38" s="49">
        <v>450</v>
      </c>
      <c r="AI38" s="7">
        <v>500</v>
      </c>
      <c r="AJ38" s="7">
        <v>400</v>
      </c>
      <c r="AK38" s="7">
        <v>350</v>
      </c>
      <c r="AL38" s="7">
        <v>350</v>
      </c>
      <c r="AM38" s="49">
        <v>350</v>
      </c>
      <c r="AN38" s="84">
        <f>Data_as_is!$AZ38</f>
        <v>358.4</v>
      </c>
      <c r="AO38" s="84">
        <f>Data_as_is!$AZ38</f>
        <v>358.4</v>
      </c>
      <c r="AP38" s="7">
        <v>500</v>
      </c>
      <c r="AQ38" s="7">
        <v>287</v>
      </c>
      <c r="AR38" s="7">
        <v>287</v>
      </c>
      <c r="AS38" s="7">
        <v>270</v>
      </c>
      <c r="AT38" s="7"/>
      <c r="AU38" s="7"/>
      <c r="AV38">
        <f t="shared" si="2"/>
        <v>400</v>
      </c>
    </row>
    <row r="39" spans="1:48" ht="30" x14ac:dyDescent="0.25">
      <c r="B39" s="3" t="s">
        <v>28</v>
      </c>
      <c r="C39" s="7"/>
      <c r="D39" s="35"/>
      <c r="E39" s="7"/>
      <c r="F39" s="7"/>
      <c r="G39" s="7"/>
      <c r="H39" s="35"/>
      <c r="I39" s="7"/>
      <c r="J39" s="7"/>
      <c r="K39" s="7"/>
      <c r="L39" s="35"/>
      <c r="M39" s="7"/>
      <c r="N39" s="7"/>
      <c r="O39" s="35"/>
      <c r="P39" s="7"/>
      <c r="Q39" s="7"/>
      <c r="R39" s="7"/>
      <c r="S39" s="7"/>
      <c r="T39" s="7"/>
      <c r="U39" s="7"/>
      <c r="V39" s="7"/>
      <c r="W39" s="7"/>
      <c r="X39" s="7"/>
      <c r="Y39" s="7"/>
      <c r="Z39" s="7"/>
      <c r="AA39" s="7"/>
      <c r="AB39" s="49"/>
      <c r="AC39" s="7"/>
      <c r="AD39" s="7"/>
      <c r="AE39" s="7"/>
      <c r="AF39" s="7"/>
      <c r="AG39" s="7"/>
      <c r="AH39" s="49"/>
      <c r="AI39" s="7"/>
      <c r="AJ39" s="7"/>
      <c r="AK39" s="7"/>
      <c r="AL39" s="7"/>
      <c r="AM39" s="49"/>
      <c r="AN39" s="7"/>
      <c r="AO39" s="7"/>
      <c r="AP39" s="7"/>
      <c r="AQ39" s="7"/>
      <c r="AR39" s="7"/>
      <c r="AS39" s="7"/>
      <c r="AT39" s="7"/>
      <c r="AU39" s="7"/>
      <c r="AV39">
        <f t="shared" si="2"/>
        <v>0</v>
      </c>
    </row>
    <row r="40" spans="1:48" x14ac:dyDescent="0.25">
      <c r="A40">
        <v>37</v>
      </c>
      <c r="B40" s="5" t="s">
        <v>39</v>
      </c>
      <c r="C40" s="7">
        <f>INDEX(Data_as_is!$C40:$AT40,MATCH(C$4,Data_as_is!$C$4:$AT$4,0))</f>
        <v>4</v>
      </c>
      <c r="D40" s="7">
        <f>INDEX(Data_as_is!$C40:$AT40,MATCH(D$4,Data_as_is!$C$4:$AT$4,0))</f>
        <v>4</v>
      </c>
      <c r="E40" s="7"/>
      <c r="F40" s="7">
        <f>INDEX(Data_as_is!$C40:$AT40,MATCH(F$4,Data_as_is!$C$4:$AT$4,0))</f>
        <v>1.4166666666666667</v>
      </c>
      <c r="G40" s="7">
        <f>INDEX(Data_as_is!$C40:$AT40,MATCH(G$4,Data_as_is!$C$4:$AT$4,0))</f>
        <v>3.2051282051282053</v>
      </c>
      <c r="H40" s="7">
        <f>INDEX(Data_as_is!$C40:$AT40,MATCH(H$4,Data_as_is!$C$4:$AT$4,0))</f>
        <v>3.2051282051282053</v>
      </c>
      <c r="I40" s="7"/>
      <c r="J40" s="7">
        <f>INDEX(Data_as_is!$C40:$AT40,MATCH(J$4,Data_as_is!$C$4:$AT$4,0))</f>
        <v>2.1756555772994131</v>
      </c>
      <c r="K40" s="7">
        <f>INDEX(Data_as_is!$C40:$AT40,MATCH(K$4,Data_as_is!$C$4:$AT$4,0))</f>
        <v>1.4285714285714286</v>
      </c>
      <c r="L40" s="7">
        <f>INDEX(Data_as_is!$C40:$AT40,MATCH(L$4,Data_as_is!$C$4:$AT$4,0))</f>
        <v>1.4285714285714286</v>
      </c>
      <c r="M40" s="7"/>
      <c r="N40" s="7"/>
      <c r="O40" s="35"/>
      <c r="P40" s="7"/>
      <c r="Q40" s="7">
        <f>INDEX(Data_as_is!$C40:$AT40,MATCH(Q$4,Data_as_is!$C$4:$AT$4,0))</f>
        <v>4</v>
      </c>
      <c r="R40" s="7"/>
      <c r="S40" s="7">
        <f>INDEX(Data_as_is!$C40:$AT40,MATCH(S$4,Data_as_is!$C$4:$AT$4,0))</f>
        <v>2.2874456083803385</v>
      </c>
      <c r="T40" s="7">
        <f>INDEX(Data_as_is!$C40:$AT40,MATCH(T$4,Data_as_is!$C$4:$AT$4,0))</f>
        <v>3.3</v>
      </c>
      <c r="U40" s="7"/>
      <c r="V40" s="7">
        <f>INDEX(Data_as_is!$C40:$AT40,MATCH(V$4,Data_as_is!$C$4:$AT$4,0))</f>
        <v>1.4</v>
      </c>
      <c r="W40" s="7">
        <f>INDEX(Data_as_is!$C40:$AT40,MATCH(W$4,Data_as_is!$C$4:$AT$4,0))</f>
        <v>1.25</v>
      </c>
      <c r="X40" s="7">
        <f>INDEX(Data_as_is!$C40:$AT40,MATCH(X$4,Data_as_is!$C$4:$AT$4,0))</f>
        <v>2.3598173515981733</v>
      </c>
      <c r="Y40" s="7">
        <f>INDEX(Data_as_is!$C40:$AT40,MATCH(Y$4,Data_as_is!$C$4:$AT$4,0))</f>
        <v>2.1666666666666665</v>
      </c>
      <c r="Z40" s="7">
        <f>INDEX(Data_as_is!$C40:$AT40,MATCH(Z$4,Data_as_is!$C$4:$AT$4,0))</f>
        <v>2.3671232876712329</v>
      </c>
      <c r="AA40" s="7">
        <f>INDEX(Data_as_is!$C40:$AT40,MATCH(AA$4,Data_as_is!$C$4:$AT$4,0))</f>
        <v>1.4166666666666667</v>
      </c>
      <c r="AB40" s="7">
        <f>INDEX(Data_as_is!$C40:$AT40,MATCH(AB$4,Data_as_is!$C$4:$AT$4,0))</f>
        <v>1.4166666666666667</v>
      </c>
      <c r="AC40" s="7"/>
      <c r="AD40" s="7">
        <f>INDEX(Data_as_is!$C40:$AT40,MATCH(AD$4,Data_as_is!$C$4:$AT$4,0))</f>
        <v>2.75</v>
      </c>
      <c r="AE40" s="7"/>
      <c r="AF40" s="7"/>
      <c r="AG40" s="7">
        <f>INDEX(Data_as_is!$C40:$AT40,MATCH(AG$4,Data_as_is!$C$4:$AT$4,0))</f>
        <v>0.9</v>
      </c>
      <c r="AH40" s="7">
        <f>INDEX(Data_as_is!$C40:$AT40,MATCH(AH$4,Data_as_is!$C$4:$AT$4,0))</f>
        <v>0.9</v>
      </c>
      <c r="AI40" s="7"/>
      <c r="AJ40" s="7">
        <f>INDEX(Data_as_is!$C40:$AT40,MATCH(AJ$4,Data_as_is!$C$4:$AT$4,0))</f>
        <v>2.504109589041096</v>
      </c>
      <c r="AK40" s="7"/>
      <c r="AL40" s="7">
        <f>INDEX(Data_as_is!$C40:$AT40,MATCH(AL$4,Data_as_is!$C$4:$AT$4,0))</f>
        <v>3.8795165189363416</v>
      </c>
      <c r="AM40" s="7">
        <f>INDEX(Data_as_is!$C40:$AT40,MATCH(AM$4,Data_as_is!$C$4:$AT$4,0))</f>
        <v>3.8795165189363416</v>
      </c>
      <c r="AN40" s="7"/>
      <c r="AO40" s="7"/>
      <c r="AP40" s="7"/>
      <c r="AQ40" s="7">
        <f>INDEX(Data_as_is!$C40:$AT40,MATCH(AQ$4,Data_as_is!$C$4:$AT$4,0))</f>
        <v>0.95238095238095233</v>
      </c>
      <c r="AR40" s="7">
        <f>INDEX(Data_as_is!$C40:$AT40,MATCH(AR$4,Data_as_is!$C$4:$AT$4,0))</f>
        <v>0.95238095238095233</v>
      </c>
      <c r="AS40" s="7"/>
      <c r="AT40" s="7"/>
      <c r="AU40" s="7"/>
      <c r="AV40">
        <f t="shared" si="2"/>
        <v>1.25</v>
      </c>
    </row>
    <row r="41" spans="1:48" x14ac:dyDescent="0.25">
      <c r="A41">
        <v>38</v>
      </c>
      <c r="B41" s="5" t="s">
        <v>83</v>
      </c>
      <c r="C41" s="7">
        <f>INDEX(Data_as_is!$C41:$AT41,MATCH(C$4,Data_as_is!$C$4:$AT$4,0))</f>
        <v>10</v>
      </c>
      <c r="D41" s="7">
        <f>INDEX(Data_as_is!$C41:$AT41,MATCH(D$4,Data_as_is!$C$4:$AT$4,0))</f>
        <v>10</v>
      </c>
      <c r="E41" s="7"/>
      <c r="F41" s="7">
        <f>INDEX(Data_as_is!$C41:$AT41,MATCH(F$4,Data_as_is!$C$4:$AT$4,0))</f>
        <v>4.5</v>
      </c>
      <c r="G41" s="7">
        <f>INDEX(Data_as_is!$C41:$AT41,MATCH(G$4,Data_as_is!$C$4:$AT$4,0))</f>
        <v>0</v>
      </c>
      <c r="H41" s="7">
        <f>INDEX(Data_as_is!$C41:$AT41,MATCH(H$4,Data_as_is!$C$4:$AT$4,0))</f>
        <v>0</v>
      </c>
      <c r="I41" s="7"/>
      <c r="J41" s="7"/>
      <c r="K41" s="7">
        <f>INDEX(Data_as_is!$C41:$AT41,MATCH(K$4,Data_as_is!$C$4:$AT$4,0))</f>
        <v>5.6360078277886503</v>
      </c>
      <c r="L41" s="7">
        <f>INDEX(Data_as_is!$C41:$AT41,MATCH(L$4,Data_as_is!$C$4:$AT$4,0))</f>
        <v>1.1428571428571428</v>
      </c>
      <c r="M41" s="7"/>
      <c r="N41" s="7"/>
      <c r="O41" s="35"/>
      <c r="P41" s="7"/>
      <c r="Q41" s="7">
        <f>INDEX(Data_as_is!$C41:$AT41,MATCH(Q$4,Data_as_is!$C$4:$AT$4,0))</f>
        <v>15</v>
      </c>
      <c r="R41" s="7"/>
      <c r="S41" s="7">
        <f>INDEX(Data_as_is!$C41:$AT41,MATCH(S$4,Data_as_is!$C$4:$AT$4,0))</f>
        <v>0.98039215686274506</v>
      </c>
      <c r="T41" s="7">
        <f>INDEX(Data_as_is!$C41:$AT41,MATCH(T$4,Data_as_is!$C$4:$AT$4,0))</f>
        <v>4.333333333333333</v>
      </c>
      <c r="U41" s="7"/>
      <c r="V41" s="7">
        <f>INDEX(Data_as_is!$C41:$AT41,MATCH(V$4,Data_as_is!$C$4:$AT$4,0))</f>
        <v>12</v>
      </c>
      <c r="W41" s="7">
        <f>INDEX(Data_as_is!$C41:$AT41,MATCH(W$4,Data_as_is!$C$4:$AT$4,0))</f>
        <v>10</v>
      </c>
      <c r="X41" s="7"/>
      <c r="Y41" s="7">
        <f>INDEX(Data_as_is!$C41:$AT41,MATCH(Y$4,Data_as_is!$C$4:$AT$4,0))</f>
        <v>12.5</v>
      </c>
      <c r="Z41" s="7">
        <f>INDEX(Data_as_is!$C41:$AT41,MATCH(Z$4,Data_as_is!$C$4:$AT$4,0))</f>
        <v>9.6</v>
      </c>
      <c r="AA41" s="7">
        <f>INDEX(Data_as_is!$C41:$AT41,MATCH(AA$4,Data_as_is!$C$4:$AT$4,0))</f>
        <v>10</v>
      </c>
      <c r="AB41" s="7">
        <f>INDEX(Data_as_is!$C41:$AT41,MATCH(AB$4,Data_as_is!$C$4:$AT$4,0))</f>
        <v>10</v>
      </c>
      <c r="AC41" s="7"/>
      <c r="AD41" s="7">
        <f>INDEX(Data_as_is!$C41:$AT41,MATCH(AD$4,Data_as_is!$C$4:$AT$4,0))</f>
        <v>10</v>
      </c>
      <c r="AE41" s="7"/>
      <c r="AF41" s="7"/>
      <c r="AG41" s="7"/>
      <c r="AH41" s="49"/>
      <c r="AI41" s="7"/>
      <c r="AJ41" s="7">
        <f>INDEX(Data_as_is!$C41:$AT41,MATCH(AJ$4,Data_as_is!$C$4:$AT$4,0))</f>
        <v>1.2345679012345678</v>
      </c>
      <c r="AK41" s="7"/>
      <c r="AL41" s="7">
        <f>INDEX(Data_as_is!$C41:$AT41,MATCH(AL$4,Data_as_is!$C$4:$AT$4,0))</f>
        <v>0</v>
      </c>
      <c r="AM41" s="7">
        <f>INDEX(Data_as_is!$C41:$AT41,MATCH(AM$4,Data_as_is!$C$4:$AT$4,0))</f>
        <v>0</v>
      </c>
      <c r="AN41" s="7"/>
      <c r="AO41" s="7"/>
      <c r="AP41" s="7"/>
      <c r="AQ41" s="7">
        <f>INDEX(Data_as_is!$C41:$AT41,MATCH(AQ$4,Data_as_is!$C$4:$AT$4,0))</f>
        <v>5.2631578947368425</v>
      </c>
      <c r="AR41" s="7">
        <f>INDEX(Data_as_is!$C41:$AT41,MATCH(AR$4,Data_as_is!$C$4:$AT$4,0))</f>
        <v>5.2631578947368425</v>
      </c>
      <c r="AS41" s="7"/>
      <c r="AT41" s="7"/>
      <c r="AU41" s="7"/>
      <c r="AV41">
        <f t="shared" si="2"/>
        <v>10</v>
      </c>
    </row>
    <row r="42" spans="1:48" x14ac:dyDescent="0.25">
      <c r="A42">
        <v>39</v>
      </c>
      <c r="B42" s="5" t="s">
        <v>84</v>
      </c>
      <c r="C42" s="7">
        <f>INDEX(Data_as_is!$C42:$AT42,MATCH(C$4,Data_as_is!$C$4:$AT$4,0))</f>
        <v>2</v>
      </c>
      <c r="D42" s="7">
        <f>INDEX(Data_as_is!$C42:$AT42,MATCH(D$4,Data_as_is!$C$4:$AT$4,0))</f>
        <v>2</v>
      </c>
      <c r="E42" s="7"/>
      <c r="F42" s="7">
        <f>INDEX(Data_as_is!$C42:$AT42,MATCH(F$4,Data_as_is!$C$4:$AT$4,0))</f>
        <v>2</v>
      </c>
      <c r="G42" s="7">
        <f>INDEX(Data_as_is!$C42:$AT42,MATCH(G$4,Data_as_is!$C$4:$AT$4,0))</f>
        <v>3.8461538461538463</v>
      </c>
      <c r="H42" s="7">
        <f>INDEX(Data_as_is!$C42:$AT42,MATCH(H$4,Data_as_is!$C$4:$AT$4,0))</f>
        <v>3.8461538461538463</v>
      </c>
      <c r="I42" s="7"/>
      <c r="J42" s="7"/>
      <c r="K42" s="7">
        <f>INDEX(Data_as_is!$C42:$AT42,MATCH(K$4,Data_as_is!$C$4:$AT$4,0))</f>
        <v>2.8180039138943251</v>
      </c>
      <c r="L42" s="7">
        <f>INDEX(Data_as_is!$C42:$AT42,MATCH(L$4,Data_as_is!$C$4:$AT$4,0))</f>
        <v>0.5714285714285714</v>
      </c>
      <c r="M42" s="7"/>
      <c r="N42" s="7"/>
      <c r="O42" s="35"/>
      <c r="P42" s="7"/>
      <c r="Q42" s="7">
        <f>INDEX(Data_as_is!$C42:$AT42,MATCH(Q$4,Data_as_is!$C$4:$AT$4,0))</f>
        <v>3</v>
      </c>
      <c r="R42" s="7"/>
      <c r="S42" s="7">
        <f>INDEX(Data_as_is!$C42:$AT42,MATCH(S$4,Data_as_is!$C$4:$AT$4,0))</f>
        <v>1.9607843137254901</v>
      </c>
      <c r="T42" s="7"/>
      <c r="U42" s="7"/>
      <c r="V42" s="7">
        <f>INDEX(Data_as_is!$C42:$AT42,MATCH(V$4,Data_as_is!$C$4:$AT$4,0))</f>
        <v>1</v>
      </c>
      <c r="W42" s="7"/>
      <c r="X42" s="7"/>
      <c r="Y42" s="7">
        <f>INDEX(Data_as_is!$C42:$AT42,MATCH(Y$4,Data_as_is!$C$4:$AT$4,0))</f>
        <v>2.5</v>
      </c>
      <c r="Z42" s="7"/>
      <c r="AA42" s="7">
        <f>INDEX(Data_as_is!$C42:$AT42,MATCH(AA$4,Data_as_is!$C$4:$AT$4,0))</f>
        <v>3</v>
      </c>
      <c r="AB42" s="7">
        <f>INDEX(Data_as_is!$C42:$AT42,MATCH(AB$4,Data_as_is!$C$4:$AT$4,0))</f>
        <v>3</v>
      </c>
      <c r="AC42" s="7"/>
      <c r="AD42" s="7">
        <f>INDEX(Data_as_is!$C42:$AT42,MATCH(AD$4,Data_as_is!$C$4:$AT$4,0))</f>
        <v>5</v>
      </c>
      <c r="AE42" s="7"/>
      <c r="AF42" s="7"/>
      <c r="AG42" s="7">
        <f>INDEX(Data_as_is!$C42:$AT42,MATCH(AG$4,Data_as_is!$C$4:$AT$4,0))</f>
        <v>30</v>
      </c>
      <c r="AH42" s="7">
        <f>INDEX(Data_as_is!$C42:$AT42,MATCH(AH$4,Data_as_is!$C$4:$AT$4,0))</f>
        <v>30</v>
      </c>
      <c r="AI42" s="7">
        <f>INDEX(Data_as_is!$C42:$AT42,MATCH(AI$4,Data_as_is!$C$4:$AT$4,0))</f>
        <v>55</v>
      </c>
      <c r="AJ42" s="7">
        <f>INDEX(Data_as_is!$C42:$AT42,MATCH(AJ$4,Data_as_is!$C$4:$AT$4,0))</f>
        <v>0</v>
      </c>
      <c r="AK42" s="7"/>
      <c r="AL42" s="7">
        <f>INDEX(Data_as_is!$C42:$AT42,MATCH(AL$4,Data_as_is!$C$4:$AT$4,0))</f>
        <v>11.698630136986301</v>
      </c>
      <c r="AM42" s="7">
        <f>INDEX(Data_as_is!$C42:$AT42,MATCH(AM$4,Data_as_is!$C$4:$AT$4,0))</f>
        <v>0</v>
      </c>
      <c r="AN42" s="7"/>
      <c r="AO42" s="7"/>
      <c r="AP42" s="7"/>
      <c r="AQ42" s="7">
        <f>INDEX(Data_as_is!$C42:$AT42,MATCH(AQ$4,Data_as_is!$C$4:$AT$4,0))</f>
        <v>3.1578947368421053</v>
      </c>
      <c r="AR42" s="7">
        <f>INDEX(Data_as_is!$C42:$AT42,MATCH(AR$4,Data_as_is!$C$4:$AT$4,0))</f>
        <v>3.1578947368421053</v>
      </c>
      <c r="AS42" s="7">
        <f>INDEX(Data_as_is!$C42:$AT42,MATCH(AS$4,Data_as_is!$C$4:$AT$4,0))</f>
        <v>21.411666666666665</v>
      </c>
      <c r="AT42" s="7"/>
      <c r="AU42" s="7"/>
      <c r="AV42">
        <f t="shared" si="2"/>
        <v>0</v>
      </c>
    </row>
    <row r="43" spans="1:48" x14ac:dyDescent="0.25">
      <c r="A43">
        <v>40</v>
      </c>
      <c r="B43" s="5" t="s">
        <v>40</v>
      </c>
      <c r="C43" s="7">
        <f>INDEX(Data_as_is!$C43:$AT43,MATCH(C$4,Data_as_is!$C$4:$AT$4,0))</f>
        <v>1000</v>
      </c>
      <c r="D43" s="7">
        <f>INDEX(Data_as_is!$C43:$AT43,MATCH(D$4,Data_as_is!$C$4:$AT$4,0))</f>
        <v>1000</v>
      </c>
      <c r="E43" s="7"/>
      <c r="F43" s="7">
        <f>INDEX(Data_as_is!$C43:$AT43,MATCH(F$4,Data_as_is!$C$4:$AT$4,0))</f>
        <v>0</v>
      </c>
      <c r="G43" s="7">
        <f>INDEX(Data_as_is!$C43:$AT43,MATCH(G$4,Data_as_is!$C$4:$AT$4,0))</f>
        <v>0</v>
      </c>
      <c r="H43" s="7">
        <f>INDEX(Data_as_is!$C43:$AT43,MATCH(H$4,Data_as_is!$C$4:$AT$4,0))</f>
        <v>0</v>
      </c>
      <c r="I43" s="7"/>
      <c r="J43" s="7"/>
      <c r="K43" s="7"/>
      <c r="L43" s="35"/>
      <c r="M43" s="7"/>
      <c r="N43" s="7"/>
      <c r="O43" s="35"/>
      <c r="P43" s="7"/>
      <c r="Q43" s="7"/>
      <c r="R43" s="7"/>
      <c r="S43" s="7"/>
      <c r="T43" s="7"/>
      <c r="U43" s="7"/>
      <c r="V43" s="7"/>
      <c r="W43" s="7"/>
      <c r="X43" s="7"/>
      <c r="Y43" s="7"/>
      <c r="Z43" s="7"/>
      <c r="AA43" s="7"/>
      <c r="AB43" s="49"/>
      <c r="AC43" s="7"/>
      <c r="AD43" s="7"/>
      <c r="AE43" s="7"/>
      <c r="AF43" s="7"/>
      <c r="AG43" s="7"/>
      <c r="AH43" s="49"/>
      <c r="AI43" s="7">
        <f>INDEX(Data_as_is!$C43:$AT43,MATCH(AI$4,Data_as_is!$C$4:$AT$4,0))</f>
        <v>55</v>
      </c>
      <c r="AJ43" s="7">
        <f>INDEX(Data_as_is!$C43:$AT43,MATCH(AJ$4,Data_as_is!$C$4:$AT$4,0))</f>
        <v>0</v>
      </c>
      <c r="AK43" s="7"/>
      <c r="AL43" s="7">
        <f>INDEX(Data_as_is!$C43:$AT43,MATCH(AL$4,Data_as_is!$C$4:$AT$4,0))</f>
        <v>1368</v>
      </c>
      <c r="AM43" s="7">
        <f>INDEX(Data_as_is!$C43:$AT43,MATCH(AM$4,Data_as_is!$C$4:$AT$4,0))</f>
        <v>1368</v>
      </c>
      <c r="AN43" s="7"/>
      <c r="AO43" s="7"/>
      <c r="AP43" s="7"/>
      <c r="AQ43" s="7">
        <f>INDEX(Data_as_is!$C43:$AT43,MATCH(AQ$4,Data_as_is!$C$4:$AT$4,0))</f>
        <v>2400</v>
      </c>
      <c r="AR43" s="7">
        <f>INDEX(Data_as_is!$C43:$AT43,MATCH(AR$4,Data_as_is!$C$4:$AT$4,0))</f>
        <v>2400</v>
      </c>
      <c r="AS43" s="7"/>
      <c r="AT43" s="7"/>
      <c r="AU43" s="7"/>
      <c r="AV43">
        <f t="shared" si="2"/>
        <v>0</v>
      </c>
    </row>
    <row r="44" spans="1:48" x14ac:dyDescent="0.25">
      <c r="A44">
        <v>41</v>
      </c>
      <c r="B44" s="5" t="s">
        <v>41</v>
      </c>
      <c r="C44" s="7">
        <f>INDEX(Data_as_is!$C44:$AT44,MATCH(C$4,Data_as_is!$C$4:$AT$4,0))</f>
        <v>5000</v>
      </c>
      <c r="D44" s="7">
        <f>INDEX(Data_as_is!$C44:$AT44,MATCH(D$4,Data_as_is!$C$4:$AT$4,0))</f>
        <v>5000</v>
      </c>
      <c r="E44" s="7"/>
      <c r="F44" s="7">
        <f>INDEX(Data_as_is!$C44:$AT44,MATCH(F$4,Data_as_is!$C$4:$AT$4,0))</f>
        <v>1608</v>
      </c>
      <c r="G44" s="7">
        <f>INDEX(Data_as_is!$C44:$AT44,MATCH(G$4,Data_as_is!$C$4:$AT$4,0))</f>
        <v>780</v>
      </c>
      <c r="H44" s="7">
        <f>INDEX(Data_as_is!$C44:$AT44,MATCH(H$4,Data_as_is!$C$4:$AT$4,0))</f>
        <v>780</v>
      </c>
      <c r="I44" s="7"/>
      <c r="J44" s="7"/>
      <c r="K44" s="7"/>
      <c r="L44" s="35"/>
      <c r="M44" s="7"/>
      <c r="N44" s="7"/>
      <c r="O44" s="35"/>
      <c r="P44" s="7"/>
      <c r="Q44" s="7">
        <f>INDEX(Data_as_is!$C44:$AT44,MATCH(Q$4,Data_as_is!$C$4:$AT$4,0))</f>
        <v>18250</v>
      </c>
      <c r="R44" s="7"/>
      <c r="S44" s="7">
        <f>INDEX(Data_as_is!$C44:$AT44,MATCH(S$4,Data_as_is!$C$4:$AT$4,0))</f>
        <v>5.882352941176471</v>
      </c>
      <c r="T44" s="7"/>
      <c r="U44" s="7"/>
      <c r="V44" s="7"/>
      <c r="W44" s="7"/>
      <c r="X44" s="7"/>
      <c r="Y44" s="7">
        <f>INDEX(Data_as_is!$C44:$AT44,MATCH(Y$4,Data_as_is!$C$4:$AT$4,0))</f>
        <v>125812</v>
      </c>
      <c r="Z44" s="7"/>
      <c r="AA44" s="7">
        <f>INDEX(Data_as_is!$C44:$AT44,MATCH(AA$4,Data_as_is!$C$4:$AT$4,0))</f>
        <v>1200</v>
      </c>
      <c r="AB44" s="7">
        <f>INDEX(Data_as_is!$C44:$AT44,MATCH(AB$4,Data_as_is!$C$4:$AT$4,0))</f>
        <v>1200</v>
      </c>
      <c r="AC44" s="7"/>
      <c r="AD44" s="7">
        <f>INDEX(Data_as_is!$C44:$AT44,MATCH(AD$4,Data_as_is!$C$4:$AT$4,0))</f>
        <v>200</v>
      </c>
      <c r="AE44" s="7"/>
      <c r="AF44" s="7"/>
      <c r="AG44" s="7"/>
      <c r="AH44" s="49"/>
      <c r="AI44" s="7"/>
      <c r="AJ44" s="7">
        <f>INDEX(Data_as_is!$C44:$AT44,MATCH(AJ$4,Data_as_is!$C$4:$AT$4,0))</f>
        <v>1200</v>
      </c>
      <c r="AK44" s="7"/>
      <c r="AL44" s="7">
        <f>INDEX(Data_as_is!$C44:$AT44,MATCH(AL$4,Data_as_is!$C$4:$AT$4,0))</f>
        <v>10776</v>
      </c>
      <c r="AM44" s="7">
        <f>INDEX(Data_as_is!$C44:$AT44,MATCH(AM$4,Data_as_is!$C$4:$AT$4,0))</f>
        <v>10776</v>
      </c>
      <c r="AN44" s="7"/>
      <c r="AO44" s="7"/>
      <c r="AP44" s="7"/>
      <c r="AQ44" s="7">
        <f>INDEX(Data_as_is!$C44:$AT44,MATCH(AQ$4,Data_as_is!$C$4:$AT$4,0))</f>
        <v>5520</v>
      </c>
      <c r="AR44" s="7">
        <f>INDEX(Data_as_is!$C44:$AT44,MATCH(AR$4,Data_as_is!$C$4:$AT$4,0))</f>
        <v>5520</v>
      </c>
      <c r="AS44" s="7"/>
      <c r="AT44" s="7"/>
      <c r="AU44" s="7"/>
      <c r="AV44">
        <f t="shared" si="2"/>
        <v>0</v>
      </c>
    </row>
    <row r="45" spans="1:48" x14ac:dyDescent="0.25">
      <c r="A45">
        <v>42</v>
      </c>
      <c r="B45" s="5" t="s">
        <v>44</v>
      </c>
      <c r="C45" s="7">
        <f>INDEX(Data_as_is!$C45:$AT45,MATCH(C$4,Data_as_is!$C$4:$AT$4,0))</f>
        <v>0.5</v>
      </c>
      <c r="D45" s="7">
        <f>INDEX(Data_as_is!$C45:$AT45,MATCH(D$4,Data_as_is!$C$4:$AT$4,0))</f>
        <v>0.5</v>
      </c>
      <c r="E45" s="7"/>
      <c r="F45" s="7">
        <f>INDEX(Data_as_is!$C45:$AT45,MATCH(F$4,Data_as_is!$C$4:$AT$4,0))</f>
        <v>0.16666666666666666</v>
      </c>
      <c r="G45" s="7">
        <f>INDEX(Data_as_is!$C45:$AT45,MATCH(G$4,Data_as_is!$C$4:$AT$4,0))</f>
        <v>0.42948717948717946</v>
      </c>
      <c r="H45" s="7">
        <f>INDEX(Data_as_is!$C45:$AT45,MATCH(H$4,Data_as_is!$C$4:$AT$4,0))</f>
        <v>0.42948717948717946</v>
      </c>
      <c r="I45" s="7"/>
      <c r="J45" s="7"/>
      <c r="K45" s="7">
        <f>INDEX(Data_as_is!$C45:$AT45,MATCH(K$4,Data_as_is!$C$4:$AT$4,0))</f>
        <v>0.5714285714285714</v>
      </c>
      <c r="L45" s="7">
        <f>INDEX(Data_as_is!$C45:$AT45,MATCH(L$4,Data_as_is!$C$4:$AT$4,0))</f>
        <v>0.5714285714285714</v>
      </c>
      <c r="M45" s="7"/>
      <c r="N45" s="7"/>
      <c r="O45" s="35"/>
      <c r="P45" s="7"/>
      <c r="Q45" s="7">
        <f>INDEX(Data_as_is!$C45:$AT45,MATCH(Q$4,Data_as_is!$C$4:$AT$4,0))</f>
        <v>0.18333333333333332</v>
      </c>
      <c r="R45" s="7"/>
      <c r="S45" s="7">
        <f>INDEX(Data_as_is!$C45:$AT45,MATCH(S$4,Data_as_is!$C$4:$AT$4,0))</f>
        <v>3.9215686274509802</v>
      </c>
      <c r="T45" s="7">
        <f>INDEX(Data_as_is!$C45:$AT45,MATCH(T$4,Data_as_is!$C$4:$AT$4,0))</f>
        <v>0.25</v>
      </c>
      <c r="U45" s="7"/>
      <c r="V45" s="7">
        <f>INDEX(Data_as_is!$C45:$AT45,MATCH(V$4,Data_as_is!$C$4:$AT$4,0))</f>
        <v>2.5000000000000001E-2</v>
      </c>
      <c r="W45" s="7">
        <f>INDEX(Data_as_is!$C45:$AT45,MATCH(W$4,Data_as_is!$C$4:$AT$4,0))</f>
        <v>0.2</v>
      </c>
      <c r="X45" s="7"/>
      <c r="Y45" s="7">
        <f>INDEX(Data_as_is!$C45:$AT45,MATCH(Y$4,Data_as_is!$C$4:$AT$4,0))</f>
        <v>0.10833333333333334</v>
      </c>
      <c r="Z45" s="7">
        <f>INDEX(Data_as_is!$C45:$AT45,MATCH(Z$4,Data_as_is!$C$4:$AT$4,0))</f>
        <v>0.2</v>
      </c>
      <c r="AA45" s="7"/>
      <c r="AB45" s="49"/>
      <c r="AC45" s="7"/>
      <c r="AD45" s="7">
        <f>INDEX(Data_as_is!$C45:$AT45,MATCH(AD$4,Data_as_is!$C$4:$AT$4,0))</f>
        <v>0.53968253968253965</v>
      </c>
      <c r="AE45" s="7"/>
      <c r="AF45" s="7"/>
      <c r="AG45" s="7">
        <f>INDEX(Data_as_is!$C45:$AT45,MATCH(AG$4,Data_as_is!$C$4:$AT$4,0))</f>
        <v>0.7</v>
      </c>
      <c r="AH45" s="7">
        <f>INDEX(Data_as_is!$C45:$AT45,MATCH(AH$4,Data_as_is!$C$4:$AT$4,0))</f>
        <v>0.7</v>
      </c>
      <c r="AI45" s="7"/>
      <c r="AJ45" s="7">
        <f>INDEX(Data_as_is!$C45:$AT45,MATCH(AJ$4,Data_as_is!$C$4:$AT$4,0))</f>
        <v>0.15220700152207001</v>
      </c>
      <c r="AK45" s="7"/>
      <c r="AL45" s="7">
        <f>INDEX(Data_as_is!$C45:$AT45,MATCH(AL$4,Data_as_is!$C$4:$AT$4,0))</f>
        <v>0.11281224818694602</v>
      </c>
      <c r="AM45" s="7">
        <f>INDEX(Data_as_is!$C45:$AT45,MATCH(AM$4,Data_as_is!$C$4:$AT$4,0))</f>
        <v>0.11281224818694602</v>
      </c>
      <c r="AN45" s="7"/>
      <c r="AO45" s="7"/>
      <c r="AP45" s="7"/>
      <c r="AQ45" s="7">
        <f>INDEX(Data_as_is!$C45:$AT45,MATCH(AQ$4,Data_as_is!$C$4:$AT$4,0))</f>
        <v>0.45614035087719296</v>
      </c>
      <c r="AR45" s="7">
        <f>INDEX(Data_as_is!$C45:$AT45,MATCH(AR$4,Data_as_is!$C$4:$AT$4,0))</f>
        <v>0.45614035087719296</v>
      </c>
      <c r="AS45" s="7"/>
      <c r="AT45" s="7"/>
      <c r="AU45" s="7"/>
      <c r="AV45">
        <f t="shared" si="2"/>
        <v>0.2</v>
      </c>
    </row>
    <row r="46" spans="1:48" x14ac:dyDescent="0.25">
      <c r="A46">
        <v>43</v>
      </c>
      <c r="B46" s="5" t="s">
        <v>42</v>
      </c>
      <c r="C46" s="7">
        <f>INDEX(Data_as_is!$C46:$AT46,MATCH(C$4,Data_as_is!$C$4:$AT$4,0))</f>
        <v>2000</v>
      </c>
      <c r="D46" s="7">
        <f>INDEX(Data_as_is!$C46:$AT46,MATCH(D$4,Data_as_is!$C$4:$AT$4,0))</f>
        <v>2000</v>
      </c>
      <c r="E46" s="7"/>
      <c r="F46" s="7">
        <f>INDEX(Data_as_is!$C46:$AT46,MATCH(F$4,Data_as_is!$C$4:$AT$4,0))</f>
        <v>2733</v>
      </c>
      <c r="G46" s="7">
        <f>INDEX(Data_as_is!$C46:$AT46,MATCH(G$4,Data_as_is!$C$4:$AT$4,0))</f>
        <v>10560</v>
      </c>
      <c r="H46" s="7">
        <f>INDEX(Data_as_is!$C46:$AT46,MATCH(H$4,Data_as_is!$C$4:$AT$4,0))</f>
        <v>10560</v>
      </c>
      <c r="I46" s="7"/>
      <c r="J46" s="7"/>
      <c r="K46" s="7"/>
      <c r="L46" s="35"/>
      <c r="M46" s="7"/>
      <c r="N46" s="7"/>
      <c r="O46" s="35"/>
      <c r="P46" s="7"/>
      <c r="Q46" s="7">
        <f>INDEX(Data_as_is!$C46:$AT46,MATCH(Q$4,Data_as_is!$C$4:$AT$4,0))</f>
        <v>36500</v>
      </c>
      <c r="R46" s="7"/>
      <c r="S46" s="7"/>
      <c r="T46" s="7"/>
      <c r="U46" s="7"/>
      <c r="V46" s="7"/>
      <c r="W46" s="7"/>
      <c r="X46" s="7"/>
      <c r="Y46" s="7"/>
      <c r="Z46" s="7"/>
      <c r="AA46" s="7"/>
      <c r="AB46" s="49"/>
      <c r="AC46" s="7"/>
      <c r="AD46" s="7"/>
      <c r="AE46" s="7"/>
      <c r="AF46" s="7"/>
      <c r="AG46" s="7">
        <f>INDEX(Data_as_is!$C46:$AT46,MATCH(AG$4,Data_as_is!$C$4:$AT$4,0))</f>
        <v>19200</v>
      </c>
      <c r="AH46" s="7">
        <f>INDEX(Data_as_is!$C46:$AT46,MATCH(AH$4,Data_as_is!$C$4:$AT$4,0))</f>
        <v>19200</v>
      </c>
      <c r="AI46" s="7">
        <f>INDEX(Data_as_is!$C46:$AT46,MATCH(AI$4,Data_as_is!$C$4:$AT$4,0))</f>
        <v>14400</v>
      </c>
      <c r="AJ46" s="7">
        <f>INDEX(Data_as_is!$C46:$AT46,MATCH(AJ$4,Data_as_is!$C$4:$AT$4,0))</f>
        <v>0</v>
      </c>
      <c r="AK46" s="7"/>
      <c r="AL46" s="7">
        <f>INDEX(Data_as_is!$C46:$AT46,MATCH(AL$4,Data_as_is!$C$4:$AT$4,0))</f>
        <v>0</v>
      </c>
      <c r="AM46" s="7">
        <f>INDEX(Data_as_is!$C46:$AT46,MATCH(AM$4,Data_as_is!$C$4:$AT$4,0))</f>
        <v>0</v>
      </c>
      <c r="AN46" s="7"/>
      <c r="AO46" s="7"/>
      <c r="AP46" s="7"/>
      <c r="AQ46" s="7">
        <f>INDEX(Data_as_is!$C46:$AT46,MATCH(AQ$4,Data_as_is!$C$4:$AT$4,0))</f>
        <v>12000</v>
      </c>
      <c r="AR46" s="7">
        <f>INDEX(Data_as_is!$C46:$AT46,MATCH(AR$4,Data_as_is!$C$4:$AT$4,0))</f>
        <v>12000</v>
      </c>
      <c r="AS46" s="7"/>
      <c r="AT46" s="7"/>
      <c r="AU46" s="7"/>
      <c r="AV46">
        <f t="shared" si="2"/>
        <v>0</v>
      </c>
    </row>
    <row r="47" spans="1:48" x14ac:dyDescent="0.25">
      <c r="A47">
        <v>44</v>
      </c>
      <c r="B47" s="5" t="s">
        <v>43</v>
      </c>
      <c r="C47" s="7">
        <f>INDEX(Data_as_is!$C47:$AT47,MATCH(C$4,Data_as_is!$C$4:$AT$4,0))</f>
        <v>1000</v>
      </c>
      <c r="D47" s="7">
        <f>INDEX(Data_as_is!$C47:$AT47,MATCH(D$4,Data_as_is!$C$4:$AT$4,0))</f>
        <v>1000</v>
      </c>
      <c r="E47" s="7"/>
      <c r="F47" s="7">
        <f>INDEX(Data_as_is!$C47:$AT47,MATCH(F$4,Data_as_is!$C$4:$AT$4,0))</f>
        <v>150</v>
      </c>
      <c r="G47" s="7">
        <f>INDEX(Data_as_is!$C47:$AT47,MATCH(G$4,Data_as_is!$C$4:$AT$4,0))</f>
        <v>1200</v>
      </c>
      <c r="H47" s="7">
        <f>INDEX(Data_as_is!$C47:$AT47,MATCH(H$4,Data_as_is!$C$4:$AT$4,0))</f>
        <v>1200</v>
      </c>
      <c r="I47" s="7"/>
      <c r="J47" s="7"/>
      <c r="K47" s="7"/>
      <c r="L47" s="35"/>
      <c r="M47" s="7"/>
      <c r="N47" s="7"/>
      <c r="O47" s="35"/>
      <c r="P47" s="7"/>
      <c r="Q47" s="7">
        <f>INDEX(Data_as_is!$C47:$AT47,MATCH(Q$4,Data_as_is!$C$4:$AT$4,0))</f>
        <v>18250</v>
      </c>
      <c r="R47" s="7"/>
      <c r="S47" s="7">
        <f>INDEX(Data_as_is!$C47:$AT47,MATCH(S$4,Data_as_is!$C$4:$AT$4,0))</f>
        <v>0.39215686274509803</v>
      </c>
      <c r="T47" s="7"/>
      <c r="U47" s="7"/>
      <c r="V47" s="7"/>
      <c r="W47" s="7"/>
      <c r="X47" s="7"/>
      <c r="Y47" s="7">
        <f>INDEX(Data_as_is!$C47:$AT47,MATCH(Y$4,Data_as_is!$C$4:$AT$4,0))</f>
        <v>2700</v>
      </c>
      <c r="Z47" s="7"/>
      <c r="AA47" s="7">
        <f>INDEX(Data_as_is!$C47:$AT47,MATCH(AA$4,Data_as_is!$C$4:$AT$4,0))</f>
        <v>612</v>
      </c>
      <c r="AB47" s="7">
        <f>INDEX(Data_as_is!$C47:$AT47,MATCH(AB$4,Data_as_is!$C$4:$AT$4,0))</f>
        <v>612</v>
      </c>
      <c r="AC47" s="7"/>
      <c r="AD47" s="7">
        <f>INDEX(Data_as_is!$C47:$AT47,MATCH(AD$4,Data_as_is!$C$4:$AT$4,0))</f>
        <v>200</v>
      </c>
      <c r="AE47" s="7"/>
      <c r="AF47" s="7"/>
      <c r="AG47" s="7">
        <f>INDEX(Data_as_is!$C47:$AT47,MATCH(AG$4,Data_as_is!$C$4:$AT$4,0))</f>
        <v>500</v>
      </c>
      <c r="AH47" s="7">
        <f>INDEX(Data_as_is!$C47:$AT47,MATCH(AH$4,Data_as_is!$C$4:$AT$4,0))</f>
        <v>500</v>
      </c>
      <c r="AI47" s="7"/>
      <c r="AJ47" s="7">
        <f>INDEX(Data_as_is!$C47:$AT47,MATCH(AJ$4,Data_as_is!$C$4:$AT$4,0))</f>
        <v>280</v>
      </c>
      <c r="AK47" s="7"/>
      <c r="AL47" s="7">
        <f>INDEX(Data_as_is!$C47:$AT47,MATCH(AL$4,Data_as_is!$C$4:$AT$4,0))</f>
        <v>100</v>
      </c>
      <c r="AM47" s="7">
        <f>INDEX(Data_as_is!$C47:$AT47,MATCH(AM$4,Data_as_is!$C$4:$AT$4,0))</f>
        <v>100</v>
      </c>
      <c r="AN47" s="7"/>
      <c r="AO47" s="7"/>
      <c r="AP47" s="7"/>
      <c r="AQ47" s="7">
        <f>INDEX(Data_as_is!$C47:$AT47,MATCH(AQ$4,Data_as_is!$C$4:$AT$4,0))</f>
        <v>1000</v>
      </c>
      <c r="AR47" s="7">
        <f>INDEX(Data_as_is!$C47:$AT47,MATCH(AR$4,Data_as_is!$C$4:$AT$4,0))</f>
        <v>1000</v>
      </c>
      <c r="AS47" s="7"/>
      <c r="AT47" s="7"/>
      <c r="AU47" s="7"/>
      <c r="AV47">
        <f t="shared" si="2"/>
        <v>0</v>
      </c>
    </row>
    <row r="48" spans="1:48" x14ac:dyDescent="0.25">
      <c r="A48">
        <v>45</v>
      </c>
      <c r="B48" s="5" t="s">
        <v>88</v>
      </c>
      <c r="C48" s="7">
        <f>INDEX(Data_as_is!$C48:$AT48,MATCH(C$4,Data_as_is!$C$4:$AT$4,0))</f>
        <v>0</v>
      </c>
      <c r="D48" s="7">
        <f>INDEX(Data_as_is!$C48:$AT48,MATCH(D$4,Data_as_is!$C$4:$AT$4,0))</f>
        <v>0</v>
      </c>
      <c r="E48" s="7"/>
      <c r="F48" s="7">
        <f>INDEX(Data_as_is!$C48:$AT48,MATCH(F$4,Data_as_is!$C$4:$AT$4,0))</f>
        <v>0</v>
      </c>
      <c r="G48" s="7">
        <f>INDEX(Data_as_is!$C48:$AT48,MATCH(G$4,Data_as_is!$C$4:$AT$4,0))</f>
        <v>60</v>
      </c>
      <c r="H48" s="7">
        <f>INDEX(Data_as_is!$C48:$AT48,MATCH(H$4,Data_as_is!$C$4:$AT$4,0))</f>
        <v>60</v>
      </c>
      <c r="I48" s="7"/>
      <c r="J48" s="7"/>
      <c r="K48" s="7"/>
      <c r="L48" s="35"/>
      <c r="M48" s="7"/>
      <c r="N48" s="7"/>
      <c r="O48" s="35"/>
      <c r="P48" s="7"/>
      <c r="Q48" s="7"/>
      <c r="R48" s="7"/>
      <c r="S48" s="7"/>
      <c r="T48" s="7"/>
      <c r="U48" s="7"/>
      <c r="V48" s="7">
        <f>INDEX(Data_as_is!$C48:$AT48,MATCH(V$4,Data_as_is!$C$4:$AT$4,0))</f>
        <v>312</v>
      </c>
      <c r="W48" s="7"/>
      <c r="X48" s="7"/>
      <c r="Y48" s="7">
        <f>INDEX(Data_as_is!$C48:$AT48,MATCH(Y$4,Data_as_is!$C$4:$AT$4,0))</f>
        <v>300</v>
      </c>
      <c r="Z48" s="7"/>
      <c r="AA48" s="7"/>
      <c r="AB48" s="49"/>
      <c r="AC48" s="7"/>
      <c r="AD48" s="7">
        <f>INDEX(Data_as_is!$C48:$AT48,MATCH(AD$4,Data_as_is!$C$4:$AT$4,0))</f>
        <v>1080</v>
      </c>
      <c r="AE48" s="7"/>
      <c r="AF48" s="7"/>
      <c r="AG48" s="7"/>
      <c r="AH48" s="49"/>
      <c r="AI48" s="7"/>
      <c r="AJ48" s="7"/>
      <c r="AK48" s="7"/>
      <c r="AL48" s="7"/>
      <c r="AM48" s="49"/>
      <c r="AN48" s="7"/>
      <c r="AO48" s="7"/>
      <c r="AP48" s="7"/>
      <c r="AQ48" s="7">
        <f>INDEX(Data_as_is!$C48:$AT48,MATCH(AQ$4,Data_as_is!$C$4:$AT$4,0))</f>
        <v>173375</v>
      </c>
      <c r="AR48" s="7">
        <f>INDEX(Data_as_is!$C48:$AT48,MATCH(AR$4,Data_as_is!$C$4:$AT$4,0))</f>
        <v>173375</v>
      </c>
      <c r="AS48" s="7"/>
      <c r="AT48" s="7"/>
      <c r="AU48" s="7"/>
      <c r="AV48">
        <f t="shared" si="2"/>
        <v>0</v>
      </c>
    </row>
    <row r="49" spans="2:48" x14ac:dyDescent="0.25">
      <c r="B49" s="5" t="s">
        <v>126</v>
      </c>
      <c r="C49" s="7">
        <f>INDEX(Data_as_is!$C49:$AT49,MATCH(C$4,Data_as_is!$C$4:$AT$4,0))</f>
        <v>73000</v>
      </c>
      <c r="D49" s="35"/>
      <c r="E49" s="7"/>
      <c r="F49" s="7"/>
      <c r="G49" s="7"/>
      <c r="H49" s="35"/>
      <c r="I49" s="7"/>
      <c r="J49" s="7"/>
      <c r="K49" s="7"/>
      <c r="L49" s="35"/>
      <c r="M49" s="7"/>
      <c r="N49" s="7"/>
      <c r="O49" s="35"/>
      <c r="P49" s="7"/>
      <c r="Q49" s="7"/>
      <c r="R49" s="7"/>
      <c r="S49" s="7"/>
      <c r="T49" s="7"/>
      <c r="U49" s="7"/>
      <c r="V49" s="7"/>
      <c r="W49" s="7"/>
      <c r="X49" s="7"/>
      <c r="Y49" s="7"/>
      <c r="Z49" s="7"/>
      <c r="AA49" s="7"/>
      <c r="AB49" s="49"/>
      <c r="AC49" s="7"/>
      <c r="AD49" s="7"/>
      <c r="AE49" s="7"/>
      <c r="AF49" s="7"/>
      <c r="AG49" s="7"/>
      <c r="AH49" s="49"/>
      <c r="AI49" s="7">
        <f>INDEX(Data_as_is!$C49:$AT49,MATCH(AI$4,Data_as_is!$C$4:$AT$4,0))</f>
        <v>0</v>
      </c>
      <c r="AJ49" s="7">
        <f>INDEX(Data_as_is!$C49:$AT49,MATCH(AJ$4,Data_as_is!$C$4:$AT$4,0))</f>
        <v>24678.000000000004</v>
      </c>
      <c r="AK49" s="7">
        <f t="shared" ref="AK49" si="3">AK40*AK$12*365</f>
        <v>0</v>
      </c>
      <c r="AL49" s="7">
        <f>INDEX(Data_as_is!$C49:$AT49,MATCH(AL$4,Data_as_is!$C$4:$AT$4,0))</f>
        <v>169922.82352941178</v>
      </c>
      <c r="AM49" s="7">
        <f>INDEX(Data_as_is!$C49:$AT49,MATCH(AM$4,Data_as_is!$C$4:$AT$4,0))</f>
        <v>212403.52941176473</v>
      </c>
      <c r="AN49" s="7"/>
      <c r="AO49" s="7"/>
      <c r="AP49" s="7"/>
      <c r="AQ49" s="7">
        <f>INDEX(Data_as_is!$C49:$AT49,MATCH(AQ$4,Data_as_is!$C$4:$AT$4,0))</f>
        <v>33023.809523809519</v>
      </c>
      <c r="AR49" s="7">
        <f>INDEX(Data_as_is!$C49:$AT49,MATCH(AR$4,Data_as_is!$C$4:$AT$4,0))</f>
        <v>48666.666666666657</v>
      </c>
      <c r="AS49" s="7"/>
      <c r="AT49" s="7"/>
      <c r="AU49" s="7"/>
    </row>
    <row r="50" spans="2:48" x14ac:dyDescent="0.25">
      <c r="B50" s="5" t="s">
        <v>127</v>
      </c>
      <c r="C50" s="7">
        <f>INDEX(Data_as_is!$C50:$AT50,MATCH(C$4,Data_as_is!$C$4:$AT$4,0))</f>
        <v>3093.2203389830511</v>
      </c>
      <c r="D50" s="35"/>
      <c r="E50" s="7"/>
      <c r="F50" s="7"/>
      <c r="G50" s="7"/>
      <c r="H50" s="35"/>
      <c r="I50" s="7"/>
      <c r="J50" s="7"/>
      <c r="K50" s="7"/>
      <c r="L50" s="35"/>
      <c r="M50" s="7"/>
      <c r="N50" s="7"/>
      <c r="O50" s="35"/>
      <c r="P50" s="7"/>
      <c r="Q50" s="7"/>
      <c r="R50" s="7"/>
      <c r="S50" s="7"/>
      <c r="T50" s="7"/>
      <c r="U50" s="7"/>
      <c r="V50" s="7"/>
      <c r="W50" s="7"/>
      <c r="X50" s="7"/>
      <c r="Y50" s="7"/>
      <c r="Z50" s="7"/>
      <c r="AA50" s="7"/>
      <c r="AB50" s="49"/>
      <c r="AC50" s="7"/>
      <c r="AD50" s="7"/>
      <c r="AE50" s="7"/>
      <c r="AF50" s="7"/>
      <c r="AG50" s="7"/>
      <c r="AH50" s="49"/>
      <c r="AI50" s="7">
        <f>INDEX(Data_as_is!$C50:$AT50,MATCH(AI$4,Data_as_is!$C$4:$AT$4,0))</f>
        <v>0</v>
      </c>
      <c r="AJ50" s="7">
        <f>INDEX(Data_as_is!$C50:$AT50,MATCH(AJ$4,Data_as_is!$C$4:$AT$4,0))</f>
        <v>199.99999999999997</v>
      </c>
      <c r="AK50" s="7">
        <f t="shared" ref="AK50" si="4">AK41*AK12*6</f>
        <v>0</v>
      </c>
      <c r="AL50" s="7">
        <f>INDEX(Data_as_is!$C50:$AT50,MATCH(AL$4,Data_as_is!$C$4:$AT$4,0))</f>
        <v>0</v>
      </c>
      <c r="AM50" s="7">
        <f>INDEX(Data_as_is!$C50:$AT50,MATCH(AM$4,Data_as_is!$C$4:$AT$4,0))</f>
        <v>0</v>
      </c>
      <c r="AN50" s="7"/>
      <c r="AO50" s="7"/>
      <c r="AP50" s="7"/>
      <c r="AQ50" s="7">
        <f>INDEX(Data_as_is!$C50:$AT50,MATCH(AQ$4,Data_as_is!$C$4:$AT$4,0))</f>
        <v>3000.0000000000005</v>
      </c>
      <c r="AR50" s="7">
        <f>INDEX(Data_as_is!$C50:$AT50,MATCH(AR$4,Data_as_is!$C$4:$AT$4,0))</f>
        <v>4421.0526315789475</v>
      </c>
      <c r="AS50" s="7"/>
      <c r="AT50" s="7"/>
      <c r="AU50" s="7"/>
    </row>
    <row r="51" spans="2:48" x14ac:dyDescent="0.25">
      <c r="B51" s="5" t="s">
        <v>128</v>
      </c>
      <c r="C51" s="7">
        <f>INDEX(Data_as_is!$C51:$AT51,MATCH(C$4,Data_as_is!$C$4:$AT$4,0))</f>
        <v>618.64406779661022</v>
      </c>
      <c r="D51" s="35"/>
      <c r="E51" s="7"/>
      <c r="F51" s="7"/>
      <c r="G51" s="7"/>
      <c r="H51" s="35"/>
      <c r="I51" s="7"/>
      <c r="J51" s="7"/>
      <c r="K51" s="7"/>
      <c r="L51" s="35"/>
      <c r="M51" s="7"/>
      <c r="N51" s="7"/>
      <c r="O51" s="35"/>
      <c r="P51" s="7"/>
      <c r="Q51" s="7"/>
      <c r="R51" s="7"/>
      <c r="S51" s="7"/>
      <c r="T51" s="7"/>
      <c r="U51" s="7"/>
      <c r="V51" s="7"/>
      <c r="W51" s="7"/>
      <c r="X51" s="7"/>
      <c r="Y51" s="7"/>
      <c r="Z51" s="7"/>
      <c r="AA51" s="7"/>
      <c r="AB51" s="49"/>
      <c r="AC51" s="7"/>
      <c r="AD51" s="7"/>
      <c r="AE51" s="7"/>
      <c r="AF51" s="7"/>
      <c r="AG51" s="7"/>
      <c r="AH51" s="49"/>
      <c r="AI51" s="7">
        <f>INDEX(Data_as_is!$C51:$AT51,MATCH(AI$4,Data_as_is!$C$4:$AT$4,0))</f>
        <v>13200</v>
      </c>
      <c r="AJ51" s="7">
        <f>INDEX(Data_as_is!$C51:$AT51,MATCH(AJ$4,Data_as_is!$C$4:$AT$4,0))</f>
        <v>0</v>
      </c>
      <c r="AK51" s="7">
        <f t="shared" ref="AK51" si="5">AK42*AK12*6</f>
        <v>0</v>
      </c>
      <c r="AL51" s="7">
        <f>INDEX(Data_as_is!$C51:$AT51,MATCH(AL$4,Data_as_is!$C$4:$AT$4,0))</f>
        <v>8423.0136986301368</v>
      </c>
      <c r="AM51" s="7">
        <f>INDEX(Data_as_is!$C51:$AT51,MATCH(AM$4,Data_as_is!$C$4:$AT$4,0))</f>
        <v>0</v>
      </c>
      <c r="AN51" s="7"/>
      <c r="AO51" s="7"/>
      <c r="AP51" s="7"/>
      <c r="AQ51" s="7">
        <f>INDEX(Data_as_is!$C51:$AT51,MATCH(AQ$4,Data_as_is!$C$4:$AT$4,0))</f>
        <v>1800</v>
      </c>
      <c r="AR51" s="7">
        <f>INDEX(Data_as_is!$C51:$AT51,MATCH(AR$4,Data_as_is!$C$4:$AT$4,0))</f>
        <v>2652.6315789473683</v>
      </c>
      <c r="AS51" s="7"/>
      <c r="AT51" s="7"/>
      <c r="AU51" s="7"/>
    </row>
    <row r="52" spans="2:48" x14ac:dyDescent="0.25">
      <c r="B52" s="5" t="s">
        <v>129</v>
      </c>
      <c r="C52" s="7">
        <f>INDEX(Data_as_is!$C52:$AT52,MATCH(C$4,Data_as_is!$C$4:$AT$4,0))</f>
        <v>9125</v>
      </c>
      <c r="D52" s="35"/>
      <c r="E52" s="7"/>
      <c r="F52" s="7"/>
      <c r="G52" s="7"/>
      <c r="H52" s="35"/>
      <c r="I52" s="7"/>
      <c r="J52" s="7"/>
      <c r="K52" s="7"/>
      <c r="L52" s="35"/>
      <c r="M52" s="7"/>
      <c r="N52" s="7"/>
      <c r="O52" s="35"/>
      <c r="P52" s="7"/>
      <c r="Q52" s="7"/>
      <c r="R52" s="7"/>
      <c r="S52" s="7"/>
      <c r="T52" s="7"/>
      <c r="U52" s="7"/>
      <c r="V52" s="7"/>
      <c r="W52" s="7"/>
      <c r="X52" s="7"/>
      <c r="Y52" s="7"/>
      <c r="Z52" s="7"/>
      <c r="AA52" s="7"/>
      <c r="AB52" s="49"/>
      <c r="AC52" s="7"/>
      <c r="AD52" s="7"/>
      <c r="AE52" s="7"/>
      <c r="AF52" s="7"/>
      <c r="AG52" s="7"/>
      <c r="AH52" s="49"/>
      <c r="AI52" s="7">
        <f>INDEX(Data_as_is!$C52:$AT52,MATCH(AI$4,Data_as_is!$C$4:$AT$4,0))</f>
        <v>0</v>
      </c>
      <c r="AJ52" s="7">
        <f>INDEX(Data_as_is!$C52:$AT52,MATCH(AJ$4,Data_as_is!$C$4:$AT$4,0))</f>
        <v>1499.9999999999998</v>
      </c>
      <c r="AK52" s="7">
        <f t="shared" ref="AK52" si="6">AK45*AK12*365</f>
        <v>0</v>
      </c>
      <c r="AL52" s="7">
        <f>INDEX(Data_as_is!$C52:$AT52,MATCH(AL$4,Data_as_is!$C$4:$AT$4,0))</f>
        <v>4941.176470588236</v>
      </c>
      <c r="AM52" s="7">
        <f>INDEX(Data_as_is!$C52:$AT52,MATCH(AM$4,Data_as_is!$C$4:$AT$4,0))</f>
        <v>6176.4705882352946</v>
      </c>
      <c r="AN52" s="7"/>
      <c r="AO52" s="7"/>
      <c r="AP52" s="7"/>
      <c r="AQ52" s="7">
        <f>INDEX(Data_as_is!$C52:$AT52,MATCH(AQ$4,Data_as_is!$C$4:$AT$4,0))</f>
        <v>15816.666666666664</v>
      </c>
      <c r="AR52" s="7">
        <f>INDEX(Data_as_is!$C52:$AT52,MATCH(AR$4,Data_as_is!$C$4:$AT$4,0))</f>
        <v>23308.771929824561</v>
      </c>
      <c r="AS52" s="7"/>
      <c r="AT52" s="7"/>
      <c r="AU52" s="7"/>
    </row>
    <row r="53" spans="2:48" x14ac:dyDescent="0.25">
      <c r="B53" s="5"/>
      <c r="C53" s="7"/>
      <c r="D53" s="35"/>
      <c r="E53" s="7"/>
      <c r="F53" s="7"/>
      <c r="G53" s="7"/>
      <c r="H53" s="35"/>
      <c r="I53" s="7"/>
      <c r="J53" s="7"/>
      <c r="K53" s="7"/>
      <c r="L53" s="35"/>
      <c r="M53" s="7"/>
      <c r="N53" s="7"/>
      <c r="O53" s="35"/>
      <c r="P53" s="7"/>
      <c r="Q53" s="7"/>
      <c r="R53" s="7"/>
      <c r="S53" s="7"/>
      <c r="T53" s="7"/>
      <c r="U53" s="7"/>
      <c r="V53" s="7"/>
      <c r="W53" s="7"/>
      <c r="X53" s="7"/>
      <c r="Y53" s="7"/>
      <c r="Z53" s="7"/>
      <c r="AA53" s="7"/>
      <c r="AB53" s="49"/>
      <c r="AC53" s="7"/>
      <c r="AD53" s="7"/>
      <c r="AE53" s="7"/>
      <c r="AF53" s="7"/>
      <c r="AG53" s="7"/>
      <c r="AH53" s="49"/>
      <c r="AI53" s="7"/>
      <c r="AJ53" s="7"/>
      <c r="AK53" s="7"/>
      <c r="AL53" s="7"/>
      <c r="AM53" s="49"/>
      <c r="AN53" s="7"/>
      <c r="AO53" s="7"/>
      <c r="AP53" s="7"/>
      <c r="AQ53" s="7"/>
      <c r="AR53" s="7"/>
      <c r="AS53" s="7"/>
      <c r="AT53" s="7"/>
      <c r="AU53" s="7"/>
    </row>
    <row r="54" spans="2:48" x14ac:dyDescent="0.25">
      <c r="B54" s="5" t="s">
        <v>130</v>
      </c>
      <c r="C54" s="60">
        <f>IF(Data_as_is!C54&gt;0,Data_as_is!C54,Data_as_is!$AZ54)</f>
        <v>240</v>
      </c>
      <c r="D54" s="60">
        <f>IF(Data_as_is!D54&gt;0,Data_as_is!D54,Data_as_is!$AZ54)</f>
        <v>136.12539940317541</v>
      </c>
      <c r="E54" s="60">
        <f>IF(Data_as_is!E54&gt;0,Data_as_is!E54,Data_as_is!$AZ54)</f>
        <v>85</v>
      </c>
      <c r="F54" s="60">
        <f>IF(Data_as_is!H54&gt;0,Data_as_is!H54,Data_as_is!$AZ54)</f>
        <v>192.30769230769232</v>
      </c>
      <c r="G54" s="60">
        <f>IF(Data_as_is!I54&gt;0,Data_as_is!I54,Data_as_is!$AZ54)</f>
        <v>136.12539940317541</v>
      </c>
      <c r="H54" s="60">
        <f>IF(Data_as_is!J54&gt;0,Data_as_is!J54,Data_as_is!$AZ54)</f>
        <v>130.53933463796477</v>
      </c>
      <c r="I54" s="60">
        <f>IF(Data_as_is!K54&gt;0,Data_as_is!K54,Data_as_is!$AZ54)</f>
        <v>85.714285714285722</v>
      </c>
      <c r="J54" s="60">
        <f>IF(Data_as_is!L54&gt;0,Data_as_is!L54,Data_as_is!$AZ54)</f>
        <v>136.12539940317541</v>
      </c>
      <c r="K54" s="60">
        <f>IF(Data_as_is!M54&gt;0,Data_as_is!M54,Data_as_is!$AZ54)</f>
        <v>136.12539940317541</v>
      </c>
      <c r="L54" s="60">
        <f>IF(Data_as_is!N54&gt;0,Data_as_is!N54,Data_as_is!$AZ54)</f>
        <v>136.12539940317541</v>
      </c>
      <c r="M54" s="60">
        <f>IF(Data_as_is!P54&gt;0,Data_as_is!P54,Data_as_is!$AZ54)</f>
        <v>240</v>
      </c>
      <c r="N54" s="60">
        <f>IF(Data_as_is!Q54&gt;0,Data_as_is!Q54,Data_as_is!$AZ54)</f>
        <v>136.12539940317541</v>
      </c>
      <c r="O54" s="60">
        <f>IF(Data_as_is!R54&gt;0,Data_as_is!R54,Data_as_is!$AZ54)</f>
        <v>137.24673650282031</v>
      </c>
      <c r="P54" s="60">
        <f>IF(Data_as_is!S54&gt;0,Data_as_is!S54,Data_as_is!$AZ54)</f>
        <v>198</v>
      </c>
      <c r="Q54" s="60">
        <f>IF(Data_as_is!T54&gt;0,Data_as_is!T54,Data_as_is!$AZ54)</f>
        <v>136.12539940317541</v>
      </c>
      <c r="R54" s="60">
        <f>IF(Data_as_is!U54&gt;0,Data_as_is!U54,Data_as_is!$AZ54)</f>
        <v>84</v>
      </c>
      <c r="S54" s="60">
        <f>IF(Data_as_is!X54&gt;0,Data_as_is!X54,Data_as_is!$AZ54)</f>
        <v>75</v>
      </c>
      <c r="T54" s="60">
        <f>IF(Data_as_is!Y54&gt;0,Data_as_is!Y54,Data_as_is!$AZ54)</f>
        <v>141.58904109589039</v>
      </c>
      <c r="U54" s="60">
        <f>IF(Data_as_is!Z54&gt;0,Data_as_is!Z54,Data_as_is!$AZ54)</f>
        <v>130</v>
      </c>
      <c r="V54" s="60">
        <f>IF(Data_as_is!AC54&gt;0,Data_as_is!AC54,Data_as_is!$AZ54)</f>
        <v>142.02739726027397</v>
      </c>
      <c r="W54" s="60">
        <f>IF(Data_as_is!AD54&gt;0,Data_as_is!AD54,Data_as_is!$AZ54)</f>
        <v>85</v>
      </c>
      <c r="X54" s="60">
        <f>IF(Data_as_is!AE54&gt;0,Data_as_is!AE54,Data_as_is!$AZ54)</f>
        <v>136.12539940317541</v>
      </c>
      <c r="Y54" s="60">
        <f>IF(Data_as_is!AF54&gt;0,Data_as_is!AF54,Data_as_is!$AZ54)</f>
        <v>165</v>
      </c>
      <c r="Z54" s="60">
        <f>IF(Data_as_is!AG54&gt;0,Data_as_is!AG54,Data_as_is!$AZ54)</f>
        <v>136.12539940317541</v>
      </c>
      <c r="AA54" s="60">
        <f>IF(Data_as_is!AH54&gt;0,Data_as_is!AH54,Data_as_is!$AZ54)</f>
        <v>96.92307692307692</v>
      </c>
      <c r="AB54" s="60">
        <f>IF(Data_as_is!AI54&gt;0,Data_as_is!AI54,Data_as_is!$AZ54)</f>
        <v>54</v>
      </c>
      <c r="AC54" s="60">
        <f>IF(Data_as_is!AM54&gt;0,Data_as_is!AM54,Data_as_is!$AZ54)</f>
        <v>240</v>
      </c>
      <c r="AD54" s="60">
        <f>IF(Data_as_is!AN54&gt;0,Data_as_is!AN54,Data_as_is!$AZ54)</f>
        <v>192.30769230769232</v>
      </c>
      <c r="AE54" s="60">
        <f>IF(Data_as_is!AO54&gt;0,Data_as_is!AO54,Data_as_is!$AZ54)</f>
        <v>85.714285714285722</v>
      </c>
      <c r="AF54" s="60">
        <f>IF(Data_as_is!AP54&gt;0,Data_as_is!AP54,Data_as_is!$AZ54)</f>
        <v>136.12539940317541</v>
      </c>
      <c r="AG54" s="60">
        <f>IF(Data_as_is!AR54&gt;0,Data_as_is!AR54,Data_as_is!$AZ54)</f>
        <v>85</v>
      </c>
      <c r="AH54" s="60">
        <f>IF(Data_as_is!AS54&gt;0,Data_as_is!AS54,Data_as_is!$AZ54)</f>
        <v>54</v>
      </c>
      <c r="AI54" s="60">
        <f>IF(Data_as_is!AT54&gt;0,Data_as_is!AT54,Data_as_is!$AZ54)</f>
        <v>232.7709911361805</v>
      </c>
      <c r="AJ54" s="60">
        <f>IF(Data_as_is!AU54&gt;0,Data_as_is!AU54,Data_as_is!$AZ54)</f>
        <v>136.12539940317541</v>
      </c>
      <c r="AK54" s="60">
        <f>IF(Data_as_is!AV54&gt;0,Data_as_is!AV54,Data_as_is!$AZ54)</f>
        <v>136.12539940317541</v>
      </c>
      <c r="AL54" s="60">
        <f>IF(Data_as_is!AW54&gt;0,Data_as_is!AW54,Data_as_is!$AZ54)</f>
        <v>136.12539940317541</v>
      </c>
      <c r="AM54" s="60">
        <f>IF(Data_as_is!AX54&gt;0,Data_as_is!AX54,Data_as_is!$AZ54)</f>
        <v>2722.507988063508</v>
      </c>
      <c r="AN54" s="60">
        <f>IF(Data_as_is!AY54&gt;0,Data_as_is!AY54,Data_as_is!$AZ54)</f>
        <v>20</v>
      </c>
      <c r="AO54" s="60">
        <f>IF(Data_as_is!AZ54&gt;0,Data_as_is!AZ54,Data_as_is!$AZ54)</f>
        <v>136.12539940317541</v>
      </c>
      <c r="AP54" s="60">
        <f>IF(Data_as_is!BA54&gt;0,Data_as_is!BA54,Data_as_is!$AZ54)</f>
        <v>140</v>
      </c>
      <c r="AQ54" s="60">
        <f>IF(Data_as_is!BB54&gt;0,Data_as_is!BB54,Data_as_is!$AZ54)</f>
        <v>54</v>
      </c>
      <c r="AR54" s="60">
        <f>IF(Data_as_is!BC54&gt;0,Data_as_is!BC54,Data_as_is!$AZ54)</f>
        <v>240</v>
      </c>
      <c r="AS54" s="60">
        <f>IF(Data_as_is!BD54&gt;0,Data_as_is!BD54,Data_as_is!$AZ54)</f>
        <v>136.12539940317541</v>
      </c>
      <c r="AT54" s="60"/>
      <c r="AU54" s="7"/>
      <c r="AV54">
        <f t="shared" ref="AV54:AV62" si="7">INDEX(C54:AU54,0,$AV$4)</f>
        <v>85</v>
      </c>
    </row>
    <row r="55" spans="2:48" x14ac:dyDescent="0.25">
      <c r="B55" s="5" t="s">
        <v>83</v>
      </c>
      <c r="C55" s="60">
        <f>IF(Data_as_is!C55&gt;0,Data_as_is!C55,Data_as_is!$AZ55)</f>
        <v>10</v>
      </c>
      <c r="D55" s="60">
        <f>IF(Data_as_is!D55&gt;0,Data_as_is!D55,Data_as_is!$AZ55)</f>
        <v>8.2031639409304091</v>
      </c>
      <c r="E55" s="60">
        <f>IF(Data_as_is!E55&gt;0,Data_as_is!E55,Data_as_is!$AZ55)</f>
        <v>4.5</v>
      </c>
      <c r="F55" s="60">
        <f>IF(Data_as_is!H55&gt;0,Data_as_is!H55,Data_as_is!$AZ55)</f>
        <v>8.2031639409304091</v>
      </c>
      <c r="G55" s="60">
        <f>IF(Data_as_is!I55&gt;0,Data_as_is!I55,Data_as_is!$AZ55)</f>
        <v>8.2031639409304091</v>
      </c>
      <c r="H55" s="60">
        <f>IF(Data_as_is!J55&gt;0,Data_as_is!J55,Data_as_is!$AZ55)</f>
        <v>8.2031639409304091</v>
      </c>
      <c r="I55" s="60">
        <f>IF(Data_as_is!K55&gt;0,Data_as_is!K55,Data_as_is!$AZ55)</f>
        <v>5.6360078277886503</v>
      </c>
      <c r="J55" s="60">
        <f>IF(Data_as_is!L55&gt;0,Data_as_is!L55,Data_as_is!$AZ55)</f>
        <v>8.2031639409304091</v>
      </c>
      <c r="K55" s="60">
        <f>IF(Data_as_is!M55&gt;0,Data_as_is!M55,Data_as_is!$AZ55)</f>
        <v>8.2031639409304091</v>
      </c>
      <c r="L55" s="60">
        <f>IF(Data_as_is!N55&gt;0,Data_as_is!N55,Data_as_is!$AZ55)</f>
        <v>8.2031639409304091</v>
      </c>
      <c r="M55" s="60">
        <f>IF(Data_as_is!P55&gt;0,Data_as_is!P55,Data_as_is!$AZ55)</f>
        <v>15</v>
      </c>
      <c r="N55" s="60">
        <f>IF(Data_as_is!Q55&gt;0,Data_as_is!Q55,Data_as_is!$AZ55)</f>
        <v>8.2031639409304091</v>
      </c>
      <c r="O55" s="60">
        <f>IF(Data_as_is!R55&gt;0,Data_as_is!R55,Data_as_is!$AZ55)</f>
        <v>0.98039215686274506</v>
      </c>
      <c r="P55" s="60">
        <f>IF(Data_as_is!S55&gt;0,Data_as_is!S55,Data_as_is!$AZ55)</f>
        <v>4.333333333333333</v>
      </c>
      <c r="Q55" s="60">
        <f>IF(Data_as_is!T55&gt;0,Data_as_is!T55,Data_as_is!$AZ55)</f>
        <v>8.2031639409304091</v>
      </c>
      <c r="R55" s="60">
        <f>IF(Data_as_is!U55&gt;0,Data_as_is!U55,Data_as_is!$AZ55)</f>
        <v>12</v>
      </c>
      <c r="S55" s="60">
        <f>IF(Data_as_is!X55&gt;0,Data_as_is!X55,Data_as_is!$AZ55)</f>
        <v>10</v>
      </c>
      <c r="T55" s="60">
        <f>IF(Data_as_is!Y55&gt;0,Data_as_is!Y55,Data_as_is!$AZ55)</f>
        <v>8.2031639409304091</v>
      </c>
      <c r="U55" s="60">
        <f>IF(Data_as_is!Z55&gt;0,Data_as_is!Z55,Data_as_is!$AZ55)</f>
        <v>12.5</v>
      </c>
      <c r="V55" s="60">
        <f>IF(Data_as_is!AC55&gt;0,Data_as_is!AC55,Data_as_is!$AZ55)</f>
        <v>9.6</v>
      </c>
      <c r="W55" s="60">
        <f>IF(Data_as_is!AD55&gt;0,Data_as_is!AD55,Data_as_is!$AZ55)</f>
        <v>10</v>
      </c>
      <c r="X55" s="60">
        <f>IF(Data_as_is!AE55&gt;0,Data_as_is!AE55,Data_as_is!$AZ55)</f>
        <v>8.2031639409304091</v>
      </c>
      <c r="Y55" s="60">
        <f>IF(Data_as_is!AF55&gt;0,Data_as_is!AF55,Data_as_is!$AZ55)</f>
        <v>10</v>
      </c>
      <c r="Z55" s="60">
        <f>IF(Data_as_is!AG55&gt;0,Data_as_is!AG55,Data_as_is!$AZ55)</f>
        <v>8.2031639409304091</v>
      </c>
      <c r="AA55" s="60">
        <f>IF(Data_as_is!AH55&gt;0,Data_as_is!AH55,Data_as_is!$AZ55)</f>
        <v>12</v>
      </c>
      <c r="AB55" s="60">
        <f>IF(Data_as_is!AI55&gt;0,Data_as_is!AI55,Data_as_is!$AZ55)</f>
        <v>8.2031639409304091</v>
      </c>
      <c r="AC55" s="60">
        <f>IF(Data_as_is!AM55&gt;0,Data_as_is!AM55,Data_as_is!$AZ55)</f>
        <v>10</v>
      </c>
      <c r="AD55" s="60">
        <f>IF(Data_as_is!AN55&gt;0,Data_as_is!AN55,Data_as_is!$AZ55)</f>
        <v>8.2031639409304091</v>
      </c>
      <c r="AE55" s="60">
        <f>IF(Data_as_is!AO55&gt;0,Data_as_is!AO55,Data_as_is!$AZ55)</f>
        <v>1.1428571428571428</v>
      </c>
      <c r="AF55" s="60">
        <f>IF(Data_as_is!AP55&gt;0,Data_as_is!AP55,Data_as_is!$AZ55)</f>
        <v>8.2031639409304091</v>
      </c>
      <c r="AG55" s="60">
        <f>IF(Data_as_is!AR55&gt;0,Data_as_is!AR55,Data_as_is!$AZ55)</f>
        <v>10</v>
      </c>
      <c r="AH55" s="60">
        <f>IF(Data_as_is!AS55&gt;0,Data_as_is!AS55,Data_as_is!$AZ55)</f>
        <v>8.2031639409304091</v>
      </c>
      <c r="AI55" s="60">
        <f>IF(Data_as_is!AT55&gt;0,Data_as_is!AT55,Data_as_is!$AZ55)</f>
        <v>8.2031639409304091</v>
      </c>
      <c r="AJ55" s="60">
        <f>IF(Data_as_is!AU55&gt;0,Data_as_is!AU55,Data_as_is!$AZ55)</f>
        <v>8.2031639409304091</v>
      </c>
      <c r="AK55" s="60">
        <f>IF(Data_as_is!AV55&gt;0,Data_as_is!AV55,Data_as_is!$AZ55)</f>
        <v>8.2031639409304091</v>
      </c>
      <c r="AL55" s="60">
        <f>IF(Data_as_is!AW55&gt;0,Data_as_is!AW55,Data_as_is!$AZ55)</f>
        <v>8.2031639409304091</v>
      </c>
      <c r="AM55" s="60">
        <f>IF(Data_as_is!AX55&gt;0,Data_as_is!AX55,Data_as_is!$AZ55)</f>
        <v>123.04745911395614</v>
      </c>
      <c r="AN55" s="60">
        <f>IF(Data_as_is!AY55&gt;0,Data_as_is!AY55,Data_as_is!$AZ55)</f>
        <v>15</v>
      </c>
      <c r="AO55" s="60">
        <f>IF(Data_as_is!AZ55&gt;0,Data_as_is!AZ55,Data_as_is!$AZ55)</f>
        <v>8.2031639409304091</v>
      </c>
      <c r="AP55" s="60">
        <f>IF(Data_as_is!BA55&gt;0,Data_as_is!BA55,Data_as_is!$AZ55)</f>
        <v>10</v>
      </c>
      <c r="AQ55" s="60">
        <f>IF(Data_as_is!BB55&gt;0,Data_as_is!BB55,Data_as_is!$AZ55)</f>
        <v>0.98040000000000005</v>
      </c>
      <c r="AR55" s="60">
        <f>IF(Data_as_is!BC55&gt;0,Data_as_is!BC55,Data_as_is!$AZ55)</f>
        <v>15</v>
      </c>
      <c r="AS55" s="60">
        <f>IF(Data_as_is!BD55&gt;0,Data_as_is!BD55,Data_as_is!$AZ55)</f>
        <v>8.2031639409304091</v>
      </c>
      <c r="AT55" s="60"/>
      <c r="AU55" s="7"/>
      <c r="AV55">
        <f t="shared" si="7"/>
        <v>10</v>
      </c>
    </row>
    <row r="56" spans="2:48" x14ac:dyDescent="0.25">
      <c r="B56" s="5" t="s">
        <v>84</v>
      </c>
      <c r="C56" s="60">
        <f>IF(Data_as_is!C56&gt;0,Data_as_is!C56,Data_as_is!$AZ56)</f>
        <v>2</v>
      </c>
      <c r="D56" s="60">
        <f>IF(Data_as_is!D56&gt;0,Data_as_is!D56,Data_as_is!$AZ56)</f>
        <v>9.337070850891795</v>
      </c>
      <c r="E56" s="60">
        <f>IF(Data_as_is!E56&gt;0,Data_as_is!E56,Data_as_is!$AZ56)</f>
        <v>2</v>
      </c>
      <c r="F56" s="60">
        <f>IF(Data_as_is!H56&gt;0,Data_as_is!H56,Data_as_is!$AZ56)</f>
        <v>3.8461538461538463</v>
      </c>
      <c r="G56" s="60">
        <f>IF(Data_as_is!I56&gt;0,Data_as_is!I56,Data_as_is!$AZ56)</f>
        <v>9.337070850891795</v>
      </c>
      <c r="H56" s="60">
        <f>IF(Data_as_is!J56&gt;0,Data_as_is!J56,Data_as_is!$AZ56)</f>
        <v>9.337070850891795</v>
      </c>
      <c r="I56" s="60">
        <f>IF(Data_as_is!K56&gt;0,Data_as_is!K56,Data_as_is!$AZ56)</f>
        <v>2.8180039138943251</v>
      </c>
      <c r="J56" s="60">
        <f>IF(Data_as_is!L56&gt;0,Data_as_is!L56,Data_as_is!$AZ56)</f>
        <v>9.337070850891795</v>
      </c>
      <c r="K56" s="60">
        <f>IF(Data_as_is!M56&gt;0,Data_as_is!M56,Data_as_is!$AZ56)</f>
        <v>9.337070850891795</v>
      </c>
      <c r="L56" s="60">
        <f>IF(Data_as_is!N56&gt;0,Data_as_is!N56,Data_as_is!$AZ56)</f>
        <v>9.337070850891795</v>
      </c>
      <c r="M56" s="60">
        <f>IF(Data_as_is!P56&gt;0,Data_as_is!P56,Data_as_is!$AZ56)</f>
        <v>3</v>
      </c>
      <c r="N56" s="60">
        <f>IF(Data_as_is!Q56&gt;0,Data_as_is!Q56,Data_as_is!$AZ56)</f>
        <v>9.337070850891795</v>
      </c>
      <c r="O56" s="60">
        <f>IF(Data_as_is!R56&gt;0,Data_as_is!R56,Data_as_is!$AZ56)</f>
        <v>1.9607843137254901</v>
      </c>
      <c r="P56" s="60">
        <f>IF(Data_as_is!S56&gt;0,Data_as_is!S56,Data_as_is!$AZ56)</f>
        <v>9.337070850891795</v>
      </c>
      <c r="Q56" s="60">
        <f>IF(Data_as_is!T56&gt;0,Data_as_is!T56,Data_as_is!$AZ56)</f>
        <v>9.337070850891795</v>
      </c>
      <c r="R56" s="60">
        <f>IF(Data_as_is!U56&gt;0,Data_as_is!U56,Data_as_is!$AZ56)</f>
        <v>1</v>
      </c>
      <c r="S56" s="60">
        <f>IF(Data_as_is!X56&gt;0,Data_as_is!X56,Data_as_is!$AZ56)</f>
        <v>9.337070850891795</v>
      </c>
      <c r="T56" s="60">
        <f>IF(Data_as_is!Y56&gt;0,Data_as_is!Y56,Data_as_is!$AZ56)</f>
        <v>9.337070850891795</v>
      </c>
      <c r="U56" s="60">
        <f>IF(Data_as_is!Z56&gt;0,Data_as_is!Z56,Data_as_is!$AZ56)</f>
        <v>2.5</v>
      </c>
      <c r="V56" s="60">
        <f>IF(Data_as_is!AC56&gt;0,Data_as_is!AC56,Data_as_is!$AZ56)</f>
        <v>9.337070850891795</v>
      </c>
      <c r="W56" s="60">
        <f>IF(Data_as_is!AD56&gt;0,Data_as_is!AD56,Data_as_is!$AZ56)</f>
        <v>3</v>
      </c>
      <c r="X56" s="60">
        <f>IF(Data_as_is!AE56&gt;0,Data_as_is!AE56,Data_as_is!$AZ56)</f>
        <v>9.337070850891795</v>
      </c>
      <c r="Y56" s="60">
        <f>IF(Data_as_is!AF56&gt;0,Data_as_is!AF56,Data_as_is!$AZ56)</f>
        <v>5</v>
      </c>
      <c r="Z56" s="60">
        <f>IF(Data_as_is!AG56&gt;0,Data_as_is!AG56,Data_as_is!$AZ56)</f>
        <v>9.337070850891795</v>
      </c>
      <c r="AA56" s="60">
        <f>IF(Data_as_is!AH56&gt;0,Data_as_is!AH56,Data_as_is!$AZ56)</f>
        <v>1</v>
      </c>
      <c r="AB56" s="60">
        <f>IF(Data_as_is!AI56&gt;0,Data_as_is!AI56,Data_as_is!$AZ56)</f>
        <v>30</v>
      </c>
      <c r="AC56" s="60">
        <f>IF(Data_as_is!AM56&gt;0,Data_as_is!AM56,Data_as_is!$AZ56)</f>
        <v>2</v>
      </c>
      <c r="AD56" s="60">
        <f>IF(Data_as_is!AN56&gt;0,Data_as_is!AN56,Data_as_is!$AZ56)</f>
        <v>3.8461538461538463</v>
      </c>
      <c r="AE56" s="60">
        <f>IF(Data_as_is!AO56&gt;0,Data_as_is!AO56,Data_as_is!$AZ56)</f>
        <v>0.5714285714285714</v>
      </c>
      <c r="AF56" s="60">
        <f>IF(Data_as_is!AP56&gt;0,Data_as_is!AP56,Data_as_is!$AZ56)</f>
        <v>9.337070850891795</v>
      </c>
      <c r="AG56" s="60">
        <f>IF(Data_as_is!AR56&gt;0,Data_as_is!AR56,Data_as_is!$AZ56)</f>
        <v>3</v>
      </c>
      <c r="AH56" s="60">
        <f>IF(Data_as_is!AS56&gt;0,Data_as_is!AS56,Data_as_is!$AZ56)</f>
        <v>30</v>
      </c>
      <c r="AI56" s="60">
        <f>IF(Data_as_is!AT56&gt;0,Data_as_is!AT56,Data_as_is!$AZ56)</f>
        <v>9.337070850891795</v>
      </c>
      <c r="AJ56" s="60">
        <f>IF(Data_as_is!AU56&gt;0,Data_as_is!AU56,Data_as_is!$AZ56)</f>
        <v>9.337070850891795</v>
      </c>
      <c r="AK56" s="60">
        <f>IF(Data_as_is!AV56&gt;0,Data_as_is!AV56,Data_as_is!$AZ56)</f>
        <v>9.337070850891795</v>
      </c>
      <c r="AL56" s="60">
        <f>IF(Data_as_is!AW56&gt;0,Data_as_is!AW56,Data_as_is!$AZ56)</f>
        <v>9.337070850891795</v>
      </c>
      <c r="AM56" s="60">
        <f>IF(Data_as_is!AX56&gt;0,Data_as_is!AX56,Data_as_is!$AZ56)</f>
        <v>149.39313361426872</v>
      </c>
      <c r="AN56" s="60">
        <f>IF(Data_as_is!AY56&gt;0,Data_as_is!AY56,Data_as_is!$AZ56)</f>
        <v>16</v>
      </c>
      <c r="AO56" s="60">
        <f>IF(Data_as_is!AZ56&gt;0,Data_as_is!AZ56,Data_as_is!$AZ56)</f>
        <v>9.337070850891795</v>
      </c>
      <c r="AP56" s="60">
        <f>IF(Data_as_is!BA56&gt;0,Data_as_is!BA56,Data_as_is!$AZ56)</f>
        <v>10</v>
      </c>
      <c r="AQ56" s="60">
        <f>IF(Data_as_is!BB56&gt;0,Data_as_is!BB56,Data_as_is!$AZ56)</f>
        <v>0.57140000000000002</v>
      </c>
      <c r="AR56" s="60">
        <f>IF(Data_as_is!BC56&gt;0,Data_as_is!BC56,Data_as_is!$AZ56)</f>
        <v>55</v>
      </c>
      <c r="AS56" s="60">
        <f>IF(Data_as_is!BD56&gt;0,Data_as_is!BD56,Data_as_is!$AZ56)</f>
        <v>9.337070850891795</v>
      </c>
      <c r="AT56" s="60"/>
      <c r="AU56" s="7"/>
      <c r="AV56">
        <f t="shared" si="7"/>
        <v>3</v>
      </c>
    </row>
    <row r="57" spans="2:48" x14ac:dyDescent="0.25">
      <c r="B57" s="5" t="s">
        <v>131</v>
      </c>
      <c r="C57" s="60">
        <f>IF(Data_as_is!C57&gt;0,Data_as_is!C57,Data_as_is!$AZ57)</f>
        <v>3.3333333333333335</v>
      </c>
      <c r="D57" s="60">
        <f>IF(Data_as_is!D57&gt;0,Data_as_is!D57,Data_as_is!$AZ57)</f>
        <v>2.4182565789473682</v>
      </c>
      <c r="E57" s="60">
        <f>IF(Data_as_is!E57&gt;0,Data_as_is!E57,Data_as_is!$AZ57)</f>
        <v>2.4182565789473682</v>
      </c>
      <c r="F57" s="60">
        <f>IF(Data_as_is!H57&gt;0,Data_as_is!H57,Data_as_is!$AZ57)</f>
        <v>2.4182565789473682</v>
      </c>
      <c r="G57" s="60">
        <f>IF(Data_as_is!I57&gt;0,Data_as_is!I57,Data_as_is!$AZ57)</f>
        <v>2.4182565789473682</v>
      </c>
      <c r="H57" s="60">
        <f>IF(Data_as_is!J57&gt;0,Data_as_is!J57,Data_as_is!$AZ57)</f>
        <v>2.4182565789473682</v>
      </c>
      <c r="I57" s="60">
        <f>IF(Data_as_is!K57&gt;0,Data_as_is!K57,Data_as_is!$AZ57)</f>
        <v>2.4182565789473682</v>
      </c>
      <c r="J57" s="60">
        <f>IF(Data_as_is!L57&gt;0,Data_as_is!L57,Data_as_is!$AZ57)</f>
        <v>2.4182565789473682</v>
      </c>
      <c r="K57" s="60">
        <f>IF(Data_as_is!M57&gt;0,Data_as_is!M57,Data_as_is!$AZ57)</f>
        <v>2.4182565789473682</v>
      </c>
      <c r="L57" s="60">
        <f>IF(Data_as_is!N57&gt;0,Data_as_is!N57,Data_as_is!$AZ57)</f>
        <v>2.4182565789473682</v>
      </c>
      <c r="M57" s="60">
        <f>IF(Data_as_is!P57&gt;0,Data_as_is!P57,Data_as_is!$AZ57)</f>
        <v>2.4182565789473682</v>
      </c>
      <c r="N57" s="60">
        <f>IF(Data_as_is!Q57&gt;0,Data_as_is!Q57,Data_as_is!$AZ57)</f>
        <v>2.4182565789473682</v>
      </c>
      <c r="O57" s="60">
        <f>IF(Data_as_is!R57&gt;0,Data_as_is!R57,Data_as_is!$AZ57)</f>
        <v>2.4182565789473682</v>
      </c>
      <c r="P57" s="60">
        <f>IF(Data_as_is!S57&gt;0,Data_as_is!S57,Data_as_is!$AZ57)</f>
        <v>2.4182565789473682</v>
      </c>
      <c r="Q57" s="60">
        <f>IF(Data_as_is!T57&gt;0,Data_as_is!T57,Data_as_is!$AZ57)</f>
        <v>2.4182565789473682</v>
      </c>
      <c r="R57" s="60">
        <f>IF(Data_as_is!U57&gt;0,Data_as_is!U57,Data_as_is!$AZ57)</f>
        <v>2.4182565789473682</v>
      </c>
      <c r="S57" s="60">
        <f>IF(Data_as_is!X57&gt;0,Data_as_is!X57,Data_as_is!$AZ57)</f>
        <v>2.4182565789473682</v>
      </c>
      <c r="T57" s="60">
        <f>IF(Data_as_is!Y57&gt;0,Data_as_is!Y57,Data_as_is!$AZ57)</f>
        <v>2.4182565789473682</v>
      </c>
      <c r="U57" s="60">
        <f>IF(Data_as_is!Z57&gt;0,Data_as_is!Z57,Data_as_is!$AZ57)</f>
        <v>2.4182565789473682</v>
      </c>
      <c r="V57" s="60">
        <f>IF(Data_as_is!AC57&gt;0,Data_as_is!AC57,Data_as_is!$AZ57)</f>
        <v>2.4182565789473682</v>
      </c>
      <c r="W57" s="60">
        <f>IF(Data_as_is!AD57&gt;0,Data_as_is!AD57,Data_as_is!$AZ57)</f>
        <v>2.4182565789473682</v>
      </c>
      <c r="X57" s="60">
        <f>IF(Data_as_is!AE57&gt;0,Data_as_is!AE57,Data_as_is!$AZ57)</f>
        <v>2.4182565789473682</v>
      </c>
      <c r="Y57" s="60">
        <f>IF(Data_as_is!AF57&gt;0,Data_as_is!AF57,Data_as_is!$AZ57)</f>
        <v>2.4182565789473682</v>
      </c>
      <c r="Z57" s="60">
        <f>IF(Data_as_is!AG57&gt;0,Data_as_is!AG57,Data_as_is!$AZ57)</f>
        <v>2.4182565789473682</v>
      </c>
      <c r="AA57" s="60">
        <f>IF(Data_as_is!AH57&gt;0,Data_as_is!AH57,Data_as_is!$AZ57)</f>
        <v>2.4182565789473682</v>
      </c>
      <c r="AB57" s="60">
        <f>IF(Data_as_is!AI57&gt;0,Data_as_is!AI57,Data_as_is!$AZ57)</f>
        <v>2.4182565789473682</v>
      </c>
      <c r="AC57" s="60">
        <f>IF(Data_as_is!AM57&gt;0,Data_as_is!AM57,Data_as_is!$AZ57)</f>
        <v>0.83333333333333337</v>
      </c>
      <c r="AD57" s="60">
        <f>IF(Data_as_is!AN57&gt;0,Data_as_is!AN57,Data_as_is!$AZ57)</f>
        <v>2.4182565789473682</v>
      </c>
      <c r="AE57" s="60">
        <f>IF(Data_as_is!AO57&gt;0,Data_as_is!AO57,Data_as_is!$AZ57)</f>
        <v>2.4182565789473682</v>
      </c>
      <c r="AF57" s="60">
        <f>IF(Data_as_is!AP57&gt;0,Data_as_is!AP57,Data_as_is!$AZ57)</f>
        <v>2.4182565789473682</v>
      </c>
      <c r="AG57" s="60">
        <f>IF(Data_as_is!AR57&gt;0,Data_as_is!AR57,Data_as_is!$AZ57)</f>
        <v>2.4182565789473682</v>
      </c>
      <c r="AH57" s="60">
        <f>IF(Data_as_is!AS57&gt;0,Data_as_is!AS57,Data_as_is!$AZ57)</f>
        <v>2.4182565789473682</v>
      </c>
      <c r="AI57" s="60">
        <f>IF(Data_as_is!AT57&gt;0,Data_as_is!AT57,Data_as_is!$AZ57)</f>
        <v>1.52</v>
      </c>
      <c r="AJ57" s="60">
        <f>IF(Data_as_is!AU57&gt;0,Data_as_is!AU57,Data_as_is!$AZ57)</f>
        <v>2.4182565789473682</v>
      </c>
      <c r="AK57" s="60">
        <f>IF(Data_as_is!AV57&gt;0,Data_as_is!AV57,Data_as_is!$AZ57)</f>
        <v>2.4182565789473682</v>
      </c>
      <c r="AL57" s="60">
        <f>IF(Data_as_is!AW57&gt;0,Data_as_is!AW57,Data_as_is!$AZ57)</f>
        <v>2.4182565789473682</v>
      </c>
      <c r="AM57" s="60">
        <f>IF(Data_as_is!AX57&gt;0,Data_as_is!AX57,Data_as_is!$AZ57)</f>
        <v>9.6730263157894729</v>
      </c>
      <c r="AN57" s="60">
        <f>IF(Data_as_is!AY57&gt;0,Data_as_is!AY57,Data_as_is!$AZ57)</f>
        <v>4</v>
      </c>
      <c r="AO57" s="60">
        <f>IF(Data_as_is!AZ57&gt;0,Data_as_is!AZ57,Data_as_is!$AZ57)</f>
        <v>2.4182565789473682</v>
      </c>
      <c r="AP57" s="60">
        <f>IF(Data_as_is!BA57&gt;0,Data_as_is!BA57,Data_as_is!$AZ57)</f>
        <v>2.4</v>
      </c>
      <c r="AQ57" s="60">
        <f>IF(Data_as_is!BB57&gt;0,Data_as_is!BB57,Data_as_is!$AZ57)</f>
        <v>0.22919999999999999</v>
      </c>
      <c r="AR57" s="60">
        <f>IF(Data_as_is!BC57&gt;0,Data_as_is!BC57,Data_as_is!$AZ57)</f>
        <v>4.2105263157894735</v>
      </c>
      <c r="AS57" s="60">
        <f>IF(Data_as_is!BD57&gt;0,Data_as_is!BD57,Data_as_is!$AZ57)</f>
        <v>2.4182565789473682</v>
      </c>
      <c r="AT57" s="60"/>
      <c r="AU57" s="7"/>
      <c r="AV57">
        <f t="shared" si="7"/>
        <v>2.4182565789473682</v>
      </c>
    </row>
    <row r="58" spans="2:48" x14ac:dyDescent="0.25">
      <c r="B58" s="5" t="s">
        <v>132</v>
      </c>
      <c r="C58" s="60">
        <f>IF(Data_as_is!C58&gt;0,Data_as_is!C58,Data_as_is!$AZ58)</f>
        <v>16.666666666666668</v>
      </c>
      <c r="D58" s="60">
        <f>IF(Data_as_is!D58&gt;0,Data_as_is!D58,Data_as_is!$AZ58)</f>
        <v>59.882046206116179</v>
      </c>
      <c r="E58" s="60">
        <f>IF(Data_as_is!E58&gt;0,Data_as_is!E58,Data_as_is!$AZ58)</f>
        <v>12.181818181818182</v>
      </c>
      <c r="F58" s="60">
        <f>IF(Data_as_is!H58&gt;0,Data_as_is!H58,Data_as_is!$AZ58)</f>
        <v>5</v>
      </c>
      <c r="G58" s="60">
        <f>IF(Data_as_is!I58&gt;0,Data_as_is!I58,Data_as_is!$AZ58)</f>
        <v>59.882046206116179</v>
      </c>
      <c r="H58" s="60">
        <f>IF(Data_as_is!J58&gt;0,Data_as_is!J58,Data_as_is!$AZ58)</f>
        <v>59.882046206116179</v>
      </c>
      <c r="I58" s="60">
        <f>IF(Data_as_is!K58&gt;0,Data_as_is!K58,Data_as_is!$AZ58)</f>
        <v>59.882046206116179</v>
      </c>
      <c r="J58" s="60">
        <f>IF(Data_as_is!L58&gt;0,Data_as_is!L58,Data_as_is!$AZ58)</f>
        <v>59.882046206116179</v>
      </c>
      <c r="K58" s="60">
        <f>IF(Data_as_is!M58&gt;0,Data_as_is!M58,Data_as_is!$AZ58)</f>
        <v>59.882046206116179</v>
      </c>
      <c r="L58" s="60">
        <f>IF(Data_as_is!N58&gt;0,Data_as_is!N58,Data_as_is!$AZ58)</f>
        <v>59.882046206116179</v>
      </c>
      <c r="M58" s="60">
        <f>IF(Data_as_is!P58&gt;0,Data_as_is!P58,Data_as_is!$AZ58)</f>
        <v>60.833333333333336</v>
      </c>
      <c r="N58" s="60">
        <f>IF(Data_as_is!Q58&gt;0,Data_as_is!Q58,Data_as_is!$AZ58)</f>
        <v>59.882046206116179</v>
      </c>
      <c r="O58" s="60">
        <f>IF(Data_as_is!R58&gt;0,Data_as_is!R58,Data_as_is!$AZ58)</f>
        <v>1.1534025374855825E-2</v>
      </c>
      <c r="P58" s="60">
        <f>IF(Data_as_is!S58&gt;0,Data_as_is!S58,Data_as_is!$AZ58)</f>
        <v>59.882046206116179</v>
      </c>
      <c r="Q58" s="60">
        <f>IF(Data_as_is!T58&gt;0,Data_as_is!T58,Data_as_is!$AZ58)</f>
        <v>59.882046206116179</v>
      </c>
      <c r="R58" s="60">
        <f>IF(Data_as_is!U58&gt;0,Data_as_is!U58,Data_as_is!$AZ58)</f>
        <v>59.882046206116179</v>
      </c>
      <c r="S58" s="60">
        <f>IF(Data_as_is!X58&gt;0,Data_as_is!X58,Data_as_is!$AZ58)</f>
        <v>59.882046206116179</v>
      </c>
      <c r="T58" s="60">
        <f>IF(Data_as_is!Y58&gt;0,Data_as_is!Y58,Data_as_is!$AZ58)</f>
        <v>59.882046206116179</v>
      </c>
      <c r="U58" s="60">
        <f>IF(Data_as_is!Z58&gt;0,Data_as_is!Z58,Data_as_is!$AZ58)</f>
        <v>524.2166666666667</v>
      </c>
      <c r="V58" s="60">
        <f>IF(Data_as_is!AC58&gt;0,Data_as_is!AC58,Data_as_is!$AZ58)</f>
        <v>59.882046206116179</v>
      </c>
      <c r="W58" s="60">
        <f>IF(Data_as_is!AD58&gt;0,Data_as_is!AD58,Data_as_is!$AZ58)</f>
        <v>5.882352941176471</v>
      </c>
      <c r="X58" s="60">
        <f>IF(Data_as_is!AE58&gt;0,Data_as_is!AE58,Data_as_is!$AZ58)</f>
        <v>59.882046206116179</v>
      </c>
      <c r="Y58" s="60">
        <f>IF(Data_as_is!AF58&gt;0,Data_as_is!AF58,Data_as_is!$AZ58)</f>
        <v>1.8518518518518519</v>
      </c>
      <c r="Z58" s="60">
        <f>IF(Data_as_is!AG58&gt;0,Data_as_is!AG58,Data_as_is!$AZ58)</f>
        <v>59.882046206116179</v>
      </c>
      <c r="AA58" s="60">
        <f>IF(Data_as_is!AH58&gt;0,Data_as_is!AH58,Data_as_is!$AZ58)</f>
        <v>59.882046206116179</v>
      </c>
      <c r="AB58" s="60">
        <f>IF(Data_as_is!AI58&gt;0,Data_as_is!AI58,Data_as_is!$AZ58)</f>
        <v>59.882046206116179</v>
      </c>
      <c r="AC58" s="60">
        <f>IF(Data_as_is!AM58&gt;0,Data_as_is!AM58,Data_as_is!$AZ58)</f>
        <v>4.166666666666667</v>
      </c>
      <c r="AD58" s="60">
        <f>IF(Data_as_is!AN58&gt;0,Data_as_is!AN58,Data_as_is!$AZ58)</f>
        <v>5</v>
      </c>
      <c r="AE58" s="60">
        <f>IF(Data_as_is!AO58&gt;0,Data_as_is!AO58,Data_as_is!$AZ58)</f>
        <v>59.882046206116179</v>
      </c>
      <c r="AF58" s="60">
        <f>IF(Data_as_is!AP58&gt;0,Data_as_is!AP58,Data_as_is!$AZ58)</f>
        <v>59.882046206116179</v>
      </c>
      <c r="AG58" s="60">
        <f>IF(Data_as_is!AR58&gt;0,Data_as_is!AR58,Data_as_is!$AZ58)</f>
        <v>5</v>
      </c>
      <c r="AH58" s="60">
        <f>IF(Data_as_is!AS58&gt;0,Data_as_is!AS58,Data_as_is!$AZ58)</f>
        <v>59.882046206116179</v>
      </c>
      <c r="AI58" s="60">
        <f>IF(Data_as_is!AT58&gt;0,Data_as_is!AT58,Data_as_is!$AZ58)</f>
        <v>11.973333333333333</v>
      </c>
      <c r="AJ58" s="60">
        <f>IF(Data_as_is!AU58&gt;0,Data_as_is!AU58,Data_as_is!$AZ58)</f>
        <v>59.882046206116179</v>
      </c>
      <c r="AK58" s="60">
        <f>IF(Data_as_is!AV58&gt;0,Data_as_is!AV58,Data_as_is!$AZ58)</f>
        <v>59.882046206116179</v>
      </c>
      <c r="AL58" s="60">
        <f>IF(Data_as_is!AW58&gt;0,Data_as_is!AW58,Data_as_is!$AZ58)</f>
        <v>59.882046206116179</v>
      </c>
      <c r="AM58" s="60">
        <f>IF(Data_as_is!AX58&gt;0,Data_as_is!AX58,Data_as_is!$AZ58)</f>
        <v>658.70250826727795</v>
      </c>
      <c r="AN58" s="60">
        <f>IF(Data_as_is!AY58&gt;0,Data_as_is!AY58,Data_as_is!$AZ58)</f>
        <v>11</v>
      </c>
      <c r="AO58" s="60">
        <f>IF(Data_as_is!AZ58&gt;0,Data_as_is!AZ58,Data_as_is!$AZ58)</f>
        <v>59.882046206116179</v>
      </c>
      <c r="AP58" s="60">
        <f>IF(Data_as_is!BA58&gt;0,Data_as_is!BA58,Data_as_is!$AZ58)</f>
        <v>60</v>
      </c>
      <c r="AQ58" s="60">
        <f>IF(Data_as_is!BB58&gt;0,Data_as_is!BB58,Data_as_is!$AZ58)</f>
        <v>1.15E-2</v>
      </c>
      <c r="AR58" s="60">
        <f>IF(Data_as_is!BC58&gt;0,Data_as_is!BC58,Data_as_is!$AZ58)</f>
        <v>524.2166666666667</v>
      </c>
      <c r="AS58" s="60">
        <f>IF(Data_as_is!BD58&gt;0,Data_as_is!BD58,Data_as_is!$AZ58)</f>
        <v>59.882046206116179</v>
      </c>
      <c r="AT58" s="60"/>
      <c r="AU58" s="7"/>
      <c r="AV58">
        <f t="shared" si="7"/>
        <v>5.882352941176471</v>
      </c>
    </row>
    <row r="59" spans="2:48" x14ac:dyDescent="0.25">
      <c r="B59" s="5" t="s">
        <v>133</v>
      </c>
      <c r="C59" s="60">
        <f>IF(Data_as_is!C59&gt;0,Data_as_is!C59,Data_as_is!$AZ59)</f>
        <v>30</v>
      </c>
      <c r="D59" s="60">
        <f>IF(Data_as_is!D59&gt;0,Data_as_is!D59,Data_as_is!$AZ59)</f>
        <v>30.160609432288116</v>
      </c>
      <c r="E59" s="60">
        <f>IF(Data_as_is!E59&gt;0,Data_as_is!E59,Data_as_is!$AZ59)</f>
        <v>10</v>
      </c>
      <c r="F59" s="60">
        <f>IF(Data_as_is!H59&gt;0,Data_as_is!H59,Data_as_is!$AZ59)</f>
        <v>25.769230769230766</v>
      </c>
      <c r="G59" s="60">
        <f>IF(Data_as_is!I59&gt;0,Data_as_is!I59,Data_as_is!$AZ59)</f>
        <v>30.160609432288116</v>
      </c>
      <c r="H59" s="60">
        <f>IF(Data_as_is!J59&gt;0,Data_as_is!J59,Data_as_is!$AZ59)</f>
        <v>30.160609432288116</v>
      </c>
      <c r="I59" s="60">
        <f>IF(Data_as_is!K59&gt;0,Data_as_is!K59,Data_as_is!$AZ59)</f>
        <v>34.285714285714285</v>
      </c>
      <c r="J59" s="60">
        <f>IF(Data_as_is!L59&gt;0,Data_as_is!L59,Data_as_is!$AZ59)</f>
        <v>30.160609432288116</v>
      </c>
      <c r="K59" s="60">
        <f>IF(Data_as_is!M59&gt;0,Data_as_is!M59,Data_as_is!$AZ59)</f>
        <v>30.160609432288116</v>
      </c>
      <c r="L59" s="60">
        <f>IF(Data_as_is!N59&gt;0,Data_as_is!N59,Data_as_is!$AZ59)</f>
        <v>30.160609432288116</v>
      </c>
      <c r="M59" s="60">
        <f>IF(Data_as_is!P59&gt;0,Data_as_is!P59,Data_as_is!$AZ59)</f>
        <v>11</v>
      </c>
      <c r="N59" s="60">
        <f>IF(Data_as_is!Q59&gt;0,Data_as_is!Q59,Data_as_is!$AZ59)</f>
        <v>30.160609432288116</v>
      </c>
      <c r="O59" s="60">
        <f>IF(Data_as_is!R59&gt;0,Data_as_is!R59,Data_as_is!$AZ59)</f>
        <v>235.29411764705881</v>
      </c>
      <c r="P59" s="60">
        <f>IF(Data_as_is!S59&gt;0,Data_as_is!S59,Data_as_is!$AZ59)</f>
        <v>15</v>
      </c>
      <c r="Q59" s="60">
        <f>IF(Data_as_is!T59&gt;0,Data_as_is!T59,Data_as_is!$AZ59)</f>
        <v>30.160609432288116</v>
      </c>
      <c r="R59" s="60">
        <f>IF(Data_as_is!U59&gt;0,Data_as_is!U59,Data_as_is!$AZ59)</f>
        <v>1.5</v>
      </c>
      <c r="S59" s="60">
        <f>IF(Data_as_is!X59&gt;0,Data_as_is!X59,Data_as_is!$AZ59)</f>
        <v>12</v>
      </c>
      <c r="T59" s="60">
        <f>IF(Data_as_is!Y59&gt;0,Data_as_is!Y59,Data_as_is!$AZ59)</f>
        <v>30.160609432288116</v>
      </c>
      <c r="U59" s="60">
        <f>IF(Data_as_is!Z59&gt;0,Data_as_is!Z59,Data_as_is!$AZ59)</f>
        <v>6.5</v>
      </c>
      <c r="V59" s="60">
        <f>IF(Data_as_is!AC59&gt;0,Data_as_is!AC59,Data_as_is!$AZ59)</f>
        <v>12</v>
      </c>
      <c r="W59" s="60">
        <f>IF(Data_as_is!AD59&gt;0,Data_as_is!AD59,Data_as_is!$AZ59)</f>
        <v>30.160609432288116</v>
      </c>
      <c r="X59" s="60">
        <f>IF(Data_as_is!AE59&gt;0,Data_as_is!AE59,Data_as_is!$AZ59)</f>
        <v>30.160609432288116</v>
      </c>
      <c r="Y59" s="60">
        <f>IF(Data_as_is!AF59&gt;0,Data_as_is!AF59,Data_as_is!$AZ59)</f>
        <v>32.38095238095238</v>
      </c>
      <c r="Z59" s="60">
        <f>IF(Data_as_is!AG59&gt;0,Data_as_is!AG59,Data_as_is!$AZ59)</f>
        <v>30.160609432288116</v>
      </c>
      <c r="AA59" s="60">
        <f>IF(Data_as_is!AH59&gt;0,Data_as_is!AH59,Data_as_is!$AZ59)</f>
        <v>1.7307692307692308</v>
      </c>
      <c r="AB59" s="60">
        <f>IF(Data_as_is!AI59&gt;0,Data_as_is!AI59,Data_as_is!$AZ59)</f>
        <v>42</v>
      </c>
      <c r="AC59" s="60">
        <f>IF(Data_as_is!AM59&gt;0,Data_as_is!AM59,Data_as_is!$AZ59)</f>
        <v>30</v>
      </c>
      <c r="AD59" s="60">
        <f>IF(Data_as_is!AN59&gt;0,Data_as_is!AN59,Data_as_is!$AZ59)</f>
        <v>25.769230769230766</v>
      </c>
      <c r="AE59" s="60">
        <f>IF(Data_as_is!AO59&gt;0,Data_as_is!AO59,Data_as_is!$AZ59)</f>
        <v>34.285714285714285</v>
      </c>
      <c r="AF59" s="60">
        <f>IF(Data_as_is!AP59&gt;0,Data_as_is!AP59,Data_as_is!$AZ59)</f>
        <v>30.160609432288116</v>
      </c>
      <c r="AG59" s="60">
        <f>IF(Data_as_is!AR59&gt;0,Data_as_is!AR59,Data_as_is!$AZ59)</f>
        <v>30.160609432288116</v>
      </c>
      <c r="AH59" s="60">
        <f>IF(Data_as_is!AS59&gt;0,Data_as_is!AS59,Data_as_is!$AZ59)</f>
        <v>42</v>
      </c>
      <c r="AI59" s="60">
        <f>IF(Data_as_is!AT59&gt;0,Data_as_is!AT59,Data_as_is!$AZ59)</f>
        <v>6.7687348912167611</v>
      </c>
      <c r="AJ59" s="60">
        <f>IF(Data_as_is!AU59&gt;0,Data_as_is!AU59,Data_as_is!$AZ59)</f>
        <v>30.160609432288116</v>
      </c>
      <c r="AK59" s="60">
        <f>IF(Data_as_is!AV59&gt;0,Data_as_is!AV59,Data_as_is!$AZ59)</f>
        <v>30.160609432288116</v>
      </c>
      <c r="AL59" s="60">
        <f>IF(Data_as_is!AW59&gt;0,Data_as_is!AW59,Data_as_is!$AZ59)</f>
        <v>30.160609432288116</v>
      </c>
      <c r="AM59" s="60">
        <f>IF(Data_as_is!AX59&gt;0,Data_as_is!AX59,Data_as_is!$AZ59)</f>
        <v>512.73036034889799</v>
      </c>
      <c r="AN59" s="60">
        <f>IF(Data_as_is!AY59&gt;0,Data_as_is!AY59,Data_as_is!$AZ59)</f>
        <v>17</v>
      </c>
      <c r="AO59" s="60">
        <f>IF(Data_as_is!AZ59&gt;0,Data_as_is!AZ59,Data_as_is!$AZ59)</f>
        <v>30.160609432288116</v>
      </c>
      <c r="AP59" s="60">
        <f>IF(Data_as_is!BA59&gt;0,Data_as_is!BA59,Data_as_is!$AZ59)</f>
        <v>30</v>
      </c>
      <c r="AQ59" s="60">
        <f>IF(Data_as_is!BB59&gt;0,Data_as_is!BB59,Data_as_is!$AZ59)</f>
        <v>1.5</v>
      </c>
      <c r="AR59" s="60">
        <f>IF(Data_as_is!BC59&gt;0,Data_as_is!BC59,Data_as_is!$AZ59)</f>
        <v>235.29411764705881</v>
      </c>
      <c r="AS59" s="60">
        <f>IF(Data_as_is!BD59&gt;0,Data_as_is!BD59,Data_as_is!$AZ59)</f>
        <v>30.160609432288116</v>
      </c>
      <c r="AT59" s="60"/>
      <c r="AU59" s="7"/>
      <c r="AV59">
        <f t="shared" si="7"/>
        <v>30.160609432288116</v>
      </c>
    </row>
    <row r="60" spans="2:48" x14ac:dyDescent="0.25">
      <c r="B60" s="5" t="s">
        <v>134</v>
      </c>
      <c r="C60" s="60">
        <f>IF(Data_as_is!C60&gt;0,Data_as_is!C60,Data_as_is!$AZ60)</f>
        <v>6.666666666666667</v>
      </c>
      <c r="D60" s="60">
        <f>IF(Data_as_is!D60&gt;0,Data_as_is!D60,Data_as_is!$AZ60)</f>
        <v>51.683259722733411</v>
      </c>
      <c r="E60" s="60">
        <f>IF(Data_as_is!E60&gt;0,Data_as_is!E60,Data_as_is!$AZ60)</f>
        <v>20.704545454545453</v>
      </c>
      <c r="F60" s="60">
        <f>IF(Data_as_is!H60&gt;0,Data_as_is!H60,Data_as_is!$AZ60)</f>
        <v>67.692307692307693</v>
      </c>
      <c r="G60" s="60">
        <f>IF(Data_as_is!I60&gt;0,Data_as_is!I60,Data_as_is!$AZ60)</f>
        <v>51.683259722733411</v>
      </c>
      <c r="H60" s="60">
        <f>IF(Data_as_is!J60&gt;0,Data_as_is!J60,Data_as_is!$AZ60)</f>
        <v>51.683259722733411</v>
      </c>
      <c r="I60" s="60">
        <f>IF(Data_as_is!K60&gt;0,Data_as_is!K60,Data_as_is!$AZ60)</f>
        <v>51.683259722733411</v>
      </c>
      <c r="J60" s="60">
        <f>IF(Data_as_is!L60&gt;0,Data_as_is!L60,Data_as_is!$AZ60)</f>
        <v>51.683259722733411</v>
      </c>
      <c r="K60" s="60">
        <f>IF(Data_as_is!M60&gt;0,Data_as_is!M60,Data_as_is!$AZ60)</f>
        <v>51.683259722733411</v>
      </c>
      <c r="L60" s="60">
        <f>IF(Data_as_is!N60&gt;0,Data_as_is!N60,Data_as_is!$AZ60)</f>
        <v>51.683259722733411</v>
      </c>
      <c r="M60" s="60">
        <f>IF(Data_as_is!P60&gt;0,Data_as_is!P60,Data_as_is!$AZ60)</f>
        <v>121.66666666666667</v>
      </c>
      <c r="N60" s="60">
        <f>IF(Data_as_is!Q60&gt;0,Data_as_is!Q60,Data_as_is!$AZ60)</f>
        <v>51.683259722733411</v>
      </c>
      <c r="O60" s="60">
        <f>IF(Data_as_is!R60&gt;0,Data_as_is!R60,Data_as_is!$AZ60)</f>
        <v>51.683259722733411</v>
      </c>
      <c r="P60" s="60">
        <f>IF(Data_as_is!S60&gt;0,Data_as_is!S60,Data_as_is!$AZ60)</f>
        <v>51.683259722733411</v>
      </c>
      <c r="Q60" s="60">
        <f>IF(Data_as_is!T60&gt;0,Data_as_is!T60,Data_as_is!$AZ60)</f>
        <v>51.683259722733411</v>
      </c>
      <c r="R60" s="60">
        <f>IF(Data_as_is!U60&gt;0,Data_as_is!U60,Data_as_is!$AZ60)</f>
        <v>51.683259722733411</v>
      </c>
      <c r="S60" s="60">
        <f>IF(Data_as_is!X60&gt;0,Data_as_is!X60,Data_as_is!$AZ60)</f>
        <v>51.683259722733411</v>
      </c>
      <c r="T60" s="60">
        <f>IF(Data_as_is!Y60&gt;0,Data_as_is!Y60,Data_as_is!$AZ60)</f>
        <v>51.683259722733411</v>
      </c>
      <c r="U60" s="60">
        <f>IF(Data_as_is!Z60&gt;0,Data_as_is!Z60,Data_as_is!$AZ60)</f>
        <v>51.683259722733411</v>
      </c>
      <c r="V60" s="60">
        <f>IF(Data_as_is!AC60&gt;0,Data_as_is!AC60,Data_as_is!$AZ60)</f>
        <v>51.683259722733411</v>
      </c>
      <c r="W60" s="60">
        <f>IF(Data_as_is!AD60&gt;0,Data_as_is!AD60,Data_as_is!$AZ60)</f>
        <v>51.683259722733411</v>
      </c>
      <c r="X60" s="60">
        <f>IF(Data_as_is!AE60&gt;0,Data_as_is!AE60,Data_as_is!$AZ60)</f>
        <v>51.683259722733411</v>
      </c>
      <c r="Y60" s="60">
        <f>IF(Data_as_is!AF60&gt;0,Data_as_is!AF60,Data_as_is!$AZ60)</f>
        <v>51.683259722733411</v>
      </c>
      <c r="Z60" s="60">
        <f>IF(Data_as_is!AG60&gt;0,Data_as_is!AG60,Data_as_is!$AZ60)</f>
        <v>51.683259722733411</v>
      </c>
      <c r="AA60" s="60">
        <f>IF(Data_as_is!AH60&gt;0,Data_as_is!AH60,Data_as_is!$AZ60)</f>
        <v>51.683259722733411</v>
      </c>
      <c r="AB60" s="60">
        <f>IF(Data_as_is!AI60&gt;0,Data_as_is!AI60,Data_as_is!$AZ60)</f>
        <v>64</v>
      </c>
      <c r="AC60" s="60">
        <f>IF(Data_as_is!AM60&gt;0,Data_as_is!AM60,Data_as_is!$AZ60)</f>
        <v>1.6666666666666667</v>
      </c>
      <c r="AD60" s="60">
        <f>IF(Data_as_is!AN60&gt;0,Data_as_is!AN60,Data_as_is!$AZ60)</f>
        <v>67.692307692307693</v>
      </c>
      <c r="AE60" s="60">
        <f>IF(Data_as_is!AO60&gt;0,Data_as_is!AO60,Data_as_is!$AZ60)</f>
        <v>51.683259722733411</v>
      </c>
      <c r="AF60" s="60">
        <f>IF(Data_as_is!AP60&gt;0,Data_as_is!AP60,Data_as_is!$AZ60)</f>
        <v>51.683259722733411</v>
      </c>
      <c r="AG60" s="60">
        <f>IF(Data_as_is!AR60&gt;0,Data_as_is!AR60,Data_as_is!$AZ60)</f>
        <v>51.683259722733411</v>
      </c>
      <c r="AH60" s="60">
        <f>IF(Data_as_is!AS60&gt;0,Data_as_is!AS60,Data_as_is!$AZ60)</f>
        <v>53.333333333333336</v>
      </c>
      <c r="AI60" s="60">
        <f>IF(Data_as_is!AT60&gt;0,Data_as_is!AT60,Data_as_is!$AZ60)</f>
        <v>51.683259722733411</v>
      </c>
      <c r="AJ60" s="60">
        <f>IF(Data_as_is!AU60&gt;0,Data_as_is!AU60,Data_as_is!$AZ60)</f>
        <v>51.683259722733411</v>
      </c>
      <c r="AK60" s="60">
        <f>IF(Data_as_is!AV60&gt;0,Data_as_is!AV60,Data_as_is!$AZ60)</f>
        <v>51.683259722733411</v>
      </c>
      <c r="AL60" s="60">
        <f>IF(Data_as_is!AW60&gt;0,Data_as_is!AW60,Data_as_is!$AZ60)</f>
        <v>51.683259722733411</v>
      </c>
      <c r="AM60" s="60">
        <f>IF(Data_as_is!AX60&gt;0,Data_as_is!AX60,Data_as_is!$AZ60)</f>
        <v>361.78281805913389</v>
      </c>
      <c r="AN60" s="60">
        <f>IF(Data_as_is!AY60&gt;0,Data_as_is!AY60,Data_as_is!$AZ60)</f>
        <v>7</v>
      </c>
      <c r="AO60" s="60">
        <f>IF(Data_as_is!AZ60&gt;0,Data_as_is!AZ60,Data_as_is!$AZ60)</f>
        <v>51.683259722733411</v>
      </c>
      <c r="AP60" s="60">
        <f>IF(Data_as_is!BA60&gt;0,Data_as_is!BA60,Data_as_is!$AZ60)</f>
        <v>50</v>
      </c>
      <c r="AQ60" s="60">
        <f>IF(Data_as_is!BB60&gt;0,Data_as_is!BB60,Data_as_is!$AZ60)</f>
        <v>1.6667000000000001</v>
      </c>
      <c r="AR60" s="60">
        <f>IF(Data_as_is!BC60&gt;0,Data_as_is!BC60,Data_as_is!$AZ60)</f>
        <v>121.66666666666667</v>
      </c>
      <c r="AS60" s="60">
        <f>IF(Data_as_is!BD60&gt;0,Data_as_is!BD60,Data_as_is!$AZ60)</f>
        <v>51.683259722733411</v>
      </c>
      <c r="AT60" s="60"/>
      <c r="AU60" s="7"/>
      <c r="AV60">
        <f t="shared" si="7"/>
        <v>51.683259722733411</v>
      </c>
    </row>
    <row r="61" spans="2:48" x14ac:dyDescent="0.25">
      <c r="B61" s="5" t="s">
        <v>135</v>
      </c>
      <c r="C61" s="60">
        <f>IF(Data_as_is!C61&gt;0,Data_as_is!C61,Data_as_is!$AZ61)</f>
        <v>3.3333333333333335</v>
      </c>
      <c r="D61" s="60">
        <f>IF(Data_as_is!D61&gt;0,Data_as_is!D61,Data_as_is!$AZ61)</f>
        <v>7.8655246137009227</v>
      </c>
      <c r="E61" s="60">
        <f>IF(Data_as_is!E61&gt;0,Data_as_is!E61,Data_as_is!$AZ61)</f>
        <v>1.1363636363636365</v>
      </c>
      <c r="F61" s="60">
        <f>IF(Data_as_is!H61&gt;0,Data_as_is!H61,Data_as_is!$AZ61)</f>
        <v>7.6923076923076925</v>
      </c>
      <c r="G61" s="60">
        <f>IF(Data_as_is!I61&gt;0,Data_as_is!I61,Data_as_is!$AZ61)</f>
        <v>7.8655246137009227</v>
      </c>
      <c r="H61" s="60">
        <f>IF(Data_as_is!J61&gt;0,Data_as_is!J61,Data_as_is!$AZ61)</f>
        <v>7.8655246137009227</v>
      </c>
      <c r="I61" s="60">
        <f>IF(Data_as_is!K61&gt;0,Data_as_is!K61,Data_as_is!$AZ61)</f>
        <v>7.8655246137009227</v>
      </c>
      <c r="J61" s="60">
        <f>IF(Data_as_is!L61&gt;0,Data_as_is!L61,Data_as_is!$AZ61)</f>
        <v>7.8655246137009227</v>
      </c>
      <c r="K61" s="60">
        <f>IF(Data_as_is!M61&gt;0,Data_as_is!M61,Data_as_is!$AZ61)</f>
        <v>7.8655246137009227</v>
      </c>
      <c r="L61" s="60">
        <f>IF(Data_as_is!N61&gt;0,Data_as_is!N61,Data_as_is!$AZ61)</f>
        <v>7.8655246137009227</v>
      </c>
      <c r="M61" s="60">
        <f>IF(Data_as_is!P61&gt;0,Data_as_is!P61,Data_as_is!$AZ61)</f>
        <v>60.833333333333336</v>
      </c>
      <c r="N61" s="60">
        <f>IF(Data_as_is!Q61&gt;0,Data_as_is!Q61,Data_as_is!$AZ61)</f>
        <v>7.8655246137009227</v>
      </c>
      <c r="O61" s="60">
        <f>IF(Data_as_is!R61&gt;0,Data_as_is!R61,Data_as_is!$AZ61)</f>
        <v>7.6893502499038834E-4</v>
      </c>
      <c r="P61" s="60">
        <f>IF(Data_as_is!S61&gt;0,Data_as_is!S61,Data_as_is!$AZ61)</f>
        <v>7.8655246137009227</v>
      </c>
      <c r="Q61" s="60">
        <f>IF(Data_as_is!T61&gt;0,Data_as_is!T61,Data_as_is!$AZ61)</f>
        <v>7.8655246137009227</v>
      </c>
      <c r="R61" s="60">
        <f>IF(Data_as_is!U61&gt;0,Data_as_is!U61,Data_as_is!$AZ61)</f>
        <v>7.8655246137009227</v>
      </c>
      <c r="S61" s="60">
        <f>IF(Data_as_is!X61&gt;0,Data_as_is!X61,Data_as_is!$AZ61)</f>
        <v>7.8655246137009227</v>
      </c>
      <c r="T61" s="60">
        <f>IF(Data_as_is!Y61&gt;0,Data_as_is!Y61,Data_as_is!$AZ61)</f>
        <v>7.8655246137009227</v>
      </c>
      <c r="U61" s="60">
        <f>IF(Data_as_is!Z61&gt;0,Data_as_is!Z61,Data_as_is!$AZ61)</f>
        <v>11.25</v>
      </c>
      <c r="V61" s="60">
        <f>IF(Data_as_is!AC61&gt;0,Data_as_is!AC61,Data_as_is!$AZ61)</f>
        <v>7.8655246137009227</v>
      </c>
      <c r="W61" s="60">
        <f>IF(Data_as_is!AD61&gt;0,Data_as_is!AD61,Data_as_is!$AZ61)</f>
        <v>3</v>
      </c>
      <c r="X61" s="60">
        <f>IF(Data_as_is!AE61&gt;0,Data_as_is!AE61,Data_as_is!$AZ61)</f>
        <v>7.8655246137009227</v>
      </c>
      <c r="Y61" s="60">
        <f>IF(Data_as_is!AF61&gt;0,Data_as_is!AF61,Data_as_is!$AZ61)</f>
        <v>1.8518518518518519</v>
      </c>
      <c r="Z61" s="60">
        <f>IF(Data_as_is!AG61&gt;0,Data_as_is!AG61,Data_as_is!$AZ61)</f>
        <v>7.8655246137009227</v>
      </c>
      <c r="AA61" s="60">
        <f>IF(Data_as_is!AH61&gt;0,Data_as_is!AH61,Data_as_is!$AZ61)</f>
        <v>7.8655246137009227</v>
      </c>
      <c r="AB61" s="60">
        <f>IF(Data_as_is!AI61&gt;0,Data_as_is!AI61,Data_as_is!$AZ61)</f>
        <v>1.6666666666666667</v>
      </c>
      <c r="AC61" s="60">
        <f>IF(Data_as_is!AM61&gt;0,Data_as_is!AM61,Data_as_is!$AZ61)</f>
        <v>0.83333333333333337</v>
      </c>
      <c r="AD61" s="60">
        <f>IF(Data_as_is!AN61&gt;0,Data_as_is!AN61,Data_as_is!$AZ61)</f>
        <v>7.6923076923076925</v>
      </c>
      <c r="AE61" s="60">
        <f>IF(Data_as_is!AO61&gt;0,Data_as_is!AO61,Data_as_is!$AZ61)</f>
        <v>7.8655246137009227</v>
      </c>
      <c r="AF61" s="60">
        <f>IF(Data_as_is!AP61&gt;0,Data_as_is!AP61,Data_as_is!$AZ61)</f>
        <v>7.8655246137009227</v>
      </c>
      <c r="AG61" s="60">
        <f>IF(Data_as_is!AR61&gt;0,Data_as_is!AR61,Data_as_is!$AZ61)</f>
        <v>2.5499999999999998</v>
      </c>
      <c r="AH61" s="60">
        <f>IF(Data_as_is!AS61&gt;0,Data_as_is!AS61,Data_as_is!$AZ61)</f>
        <v>1.3888888888888888</v>
      </c>
      <c r="AI61" s="60">
        <f>IF(Data_as_is!AT61&gt;0,Data_as_is!AT61,Data_as_is!$AZ61)</f>
        <v>0.1111111111111111</v>
      </c>
      <c r="AJ61" s="60">
        <f>IF(Data_as_is!AU61&gt;0,Data_as_is!AU61,Data_as_is!$AZ61)</f>
        <v>7.8655246137009227</v>
      </c>
      <c r="AK61" s="60">
        <f>IF(Data_as_is!AV61&gt;0,Data_as_is!AV61,Data_as_is!$AZ61)</f>
        <v>7.8655246137009227</v>
      </c>
      <c r="AL61" s="60">
        <f>IF(Data_as_is!AW61&gt;0,Data_as_is!AW61,Data_as_is!$AZ61)</f>
        <v>7.8655246137009227</v>
      </c>
      <c r="AM61" s="60">
        <f>IF(Data_as_is!AX61&gt;0,Data_as_is!AX61,Data_as_is!$AZ61)</f>
        <v>94.386295364411069</v>
      </c>
      <c r="AN61" s="60">
        <f>IF(Data_as_is!AY61&gt;0,Data_as_is!AY61,Data_as_is!$AZ61)</f>
        <v>12</v>
      </c>
      <c r="AO61" s="60">
        <f>IF(Data_as_is!AZ61&gt;0,Data_as_is!AZ61,Data_as_is!$AZ61)</f>
        <v>7.8655246137009227</v>
      </c>
      <c r="AP61" s="60">
        <f>IF(Data_as_is!BA61&gt;0,Data_as_is!BA61,Data_as_is!$AZ61)</f>
        <v>10</v>
      </c>
      <c r="AQ61" s="60">
        <f>IF(Data_as_is!BB61&gt;0,Data_as_is!BB61,Data_as_is!$AZ61)</f>
        <v>8.0000000000000004E-4</v>
      </c>
      <c r="AR61" s="60">
        <f>IF(Data_as_is!BC61&gt;0,Data_as_is!BC61,Data_as_is!$AZ61)</f>
        <v>60.833333333333336</v>
      </c>
      <c r="AS61" s="60">
        <f>IF(Data_as_is!BD61&gt;0,Data_as_is!BD61,Data_as_is!$AZ61)</f>
        <v>7.8655246137009227</v>
      </c>
      <c r="AT61" s="60"/>
      <c r="AU61" s="7"/>
      <c r="AV61">
        <f t="shared" si="7"/>
        <v>3</v>
      </c>
    </row>
    <row r="62" spans="2:48" x14ac:dyDescent="0.25">
      <c r="B62" s="5" t="s">
        <v>136</v>
      </c>
      <c r="C62" s="60">
        <f>IF(Data_as_is!C62&gt;0,Data_as_is!C62,Data_as_is!$AZ62)</f>
        <v>86.981217259443056</v>
      </c>
      <c r="D62" s="60">
        <f>IF(Data_as_is!D62&gt;0,Data_as_is!D62,Data_as_is!$AZ62)</f>
        <v>86.981217259443056</v>
      </c>
      <c r="E62" s="60">
        <f>IF(Data_as_is!E62&gt;0,Data_as_is!E62,Data_as_is!$AZ62)</f>
        <v>86.981217259443056</v>
      </c>
      <c r="F62" s="60">
        <f>IF(Data_as_is!H62&gt;0,Data_as_is!H62,Data_as_is!$AZ62)</f>
        <v>0.38461538461538464</v>
      </c>
      <c r="G62" s="60">
        <f>IF(Data_as_is!I62&gt;0,Data_as_is!I62,Data_as_is!$AZ62)</f>
        <v>86.981217259443056</v>
      </c>
      <c r="H62" s="60">
        <f>IF(Data_as_is!J62&gt;0,Data_as_is!J62,Data_as_is!$AZ62)</f>
        <v>86.981217259443056</v>
      </c>
      <c r="I62" s="60">
        <f>IF(Data_as_is!K62&gt;0,Data_as_is!K62,Data_as_is!$AZ62)</f>
        <v>86.981217259443056</v>
      </c>
      <c r="J62" s="60">
        <f>IF(Data_as_is!L62&gt;0,Data_as_is!L62,Data_as_is!$AZ62)</f>
        <v>86.981217259443056</v>
      </c>
      <c r="K62" s="60">
        <f>IF(Data_as_is!M62&gt;0,Data_as_is!M62,Data_as_is!$AZ62)</f>
        <v>86.981217259443056</v>
      </c>
      <c r="L62" s="60">
        <f>IF(Data_as_is!N62&gt;0,Data_as_is!N62,Data_as_is!$AZ62)</f>
        <v>86.981217259443056</v>
      </c>
      <c r="M62" s="60">
        <f>IF(Data_as_is!P62&gt;0,Data_as_is!P62,Data_as_is!$AZ62)</f>
        <v>86.981217259443056</v>
      </c>
      <c r="N62" s="60">
        <f>IF(Data_as_is!Q62&gt;0,Data_as_is!Q62,Data_as_is!$AZ62)</f>
        <v>86.981217259443056</v>
      </c>
      <c r="O62" s="60">
        <f>IF(Data_as_is!R62&gt;0,Data_as_is!R62,Data_as_is!$AZ62)</f>
        <v>86.981217259443056</v>
      </c>
      <c r="P62" s="60">
        <f>IF(Data_as_is!S62&gt;0,Data_as_is!S62,Data_as_is!$AZ62)</f>
        <v>86.981217259443056</v>
      </c>
      <c r="Q62" s="60">
        <f>IF(Data_as_is!T62&gt;0,Data_as_is!T62,Data_as_is!$AZ62)</f>
        <v>86.981217259443056</v>
      </c>
      <c r="R62" s="60">
        <f>IF(Data_as_is!U62&gt;0,Data_as_is!U62,Data_as_is!$AZ62)</f>
        <v>2</v>
      </c>
      <c r="S62" s="60">
        <f>IF(Data_as_is!X62&gt;0,Data_as_is!X62,Data_as_is!$AZ62)</f>
        <v>86.981217259443056</v>
      </c>
      <c r="T62" s="60">
        <f>IF(Data_as_is!Y62&gt;0,Data_as_is!Y62,Data_as_is!$AZ62)</f>
        <v>86.981217259443056</v>
      </c>
      <c r="U62" s="60">
        <f>IF(Data_as_is!Z62&gt;0,Data_as_is!Z62,Data_as_is!$AZ62)</f>
        <v>1.25</v>
      </c>
      <c r="V62" s="60">
        <f>IF(Data_as_is!AC62&gt;0,Data_as_is!AC62,Data_as_is!$AZ62)</f>
        <v>86.981217259443056</v>
      </c>
      <c r="W62" s="60">
        <f>IF(Data_as_is!AD62&gt;0,Data_as_is!AD62,Data_as_is!$AZ62)</f>
        <v>86.981217259443056</v>
      </c>
      <c r="X62" s="60">
        <f>IF(Data_as_is!AE62&gt;0,Data_as_is!AE62,Data_as_is!$AZ62)</f>
        <v>86.981217259443056</v>
      </c>
      <c r="Y62" s="60">
        <f>IF(Data_as_is!AF62&gt;0,Data_as_is!AF62,Data_as_is!$AZ62)</f>
        <v>10</v>
      </c>
      <c r="Z62" s="60">
        <f>IF(Data_as_is!AG62&gt;0,Data_as_is!AG62,Data_as_is!$AZ62)</f>
        <v>86.981217259443056</v>
      </c>
      <c r="AA62" s="60">
        <f>IF(Data_as_is!AH62&gt;0,Data_as_is!AH62,Data_as_is!$AZ62)</f>
        <v>204.08602150537635</v>
      </c>
      <c r="AB62" s="60">
        <f>IF(Data_as_is!AI62&gt;0,Data_as_is!AI62,Data_as_is!$AZ62)</f>
        <v>86.981217259443056</v>
      </c>
      <c r="AC62" s="60">
        <f>IF(Data_as_is!AM62&gt;0,Data_as_is!AM62,Data_as_is!$AZ62)</f>
        <v>86.981217259443056</v>
      </c>
      <c r="AD62" s="60">
        <f>IF(Data_as_is!AN62&gt;0,Data_as_is!AN62,Data_as_is!$AZ62)</f>
        <v>0.38461538461538464</v>
      </c>
      <c r="AE62" s="60">
        <f>IF(Data_as_is!AO62&gt;0,Data_as_is!AO62,Data_as_is!$AZ62)</f>
        <v>86.981217259443056</v>
      </c>
      <c r="AF62" s="60">
        <f>IF(Data_as_is!AP62&gt;0,Data_as_is!AP62,Data_as_is!$AZ62)</f>
        <v>86.981217259443056</v>
      </c>
      <c r="AG62" s="60">
        <f>IF(Data_as_is!AR62&gt;0,Data_as_is!AR62,Data_as_is!$AZ62)</f>
        <v>86.981217259443056</v>
      </c>
      <c r="AH62" s="60">
        <f>IF(Data_as_is!AS62&gt;0,Data_as_is!AS62,Data_as_is!$AZ62)</f>
        <v>86.981217259443056</v>
      </c>
      <c r="AI62" s="60">
        <f>IF(Data_as_is!AT62&gt;0,Data_as_is!AT62,Data_as_is!$AZ62)</f>
        <v>86.981217259443056</v>
      </c>
      <c r="AJ62" s="60">
        <f>IF(Data_as_is!AU62&gt;0,Data_as_is!AU62,Data_as_is!$AZ62)</f>
        <v>86.981217259443056</v>
      </c>
      <c r="AK62" s="60">
        <f>IF(Data_as_is!AV62&gt;0,Data_as_is!AV62,Data_as_is!$AZ62)</f>
        <v>86.981217259443056</v>
      </c>
      <c r="AL62" s="60">
        <f>IF(Data_as_is!AW62&gt;0,Data_as_is!AW62,Data_as_is!$AZ62)</f>
        <v>86.981217259443056</v>
      </c>
      <c r="AM62" s="60">
        <f>IF(Data_as_is!AX62&gt;0,Data_as_is!AX62,Data_as_is!$AZ62)</f>
        <v>521.88730355665837</v>
      </c>
      <c r="AN62" s="60">
        <f>IF(Data_as_is!AY62&gt;0,Data_as_is!AY62,Data_as_is!$AZ62)</f>
        <v>6</v>
      </c>
      <c r="AO62" s="60">
        <f>IF(Data_as_is!AZ62&gt;0,Data_as_is!AZ62,Data_as_is!$AZ62)</f>
        <v>86.981217259443056</v>
      </c>
      <c r="AP62" s="60">
        <f>IF(Data_as_is!BA62&gt;0,Data_as_is!BA62,Data_as_is!$AZ62)</f>
        <v>90</v>
      </c>
      <c r="AQ62" s="60">
        <f>IF(Data_as_is!BB62&gt;0,Data_as_is!BB62,Data_as_is!$AZ62)</f>
        <v>0.3846</v>
      </c>
      <c r="AR62" s="60">
        <f>IF(Data_as_is!BC62&gt;0,Data_as_is!BC62,Data_as_is!$AZ62)</f>
        <v>304.16666666666669</v>
      </c>
      <c r="AS62" s="60">
        <f>IF(Data_as_is!BD62&gt;0,Data_as_is!BD62,Data_as_is!$AZ62)</f>
        <v>86.981217259443056</v>
      </c>
      <c r="AT62" s="60"/>
      <c r="AU62" s="7"/>
      <c r="AV62">
        <f t="shared" si="7"/>
        <v>86.981217259443056</v>
      </c>
    </row>
    <row r="63" spans="2:48" x14ac:dyDescent="0.25">
      <c r="B63" s="5" t="s">
        <v>137</v>
      </c>
      <c r="C63" s="60">
        <f>SUM(C54:C62)</f>
        <v>398.98121725944304</v>
      </c>
      <c r="D63" s="60">
        <f t="shared" ref="D63:AH63" si="8">SUM(D54:D62)</f>
        <v>392.65654800822665</v>
      </c>
      <c r="E63" s="60">
        <f t="shared" si="8"/>
        <v>224.92220111111766</v>
      </c>
      <c r="F63" s="60">
        <f t="shared" si="8"/>
        <v>313.31372821218542</v>
      </c>
      <c r="G63" s="60">
        <f t="shared" si="8"/>
        <v>392.65654800822665</v>
      </c>
      <c r="H63" s="60">
        <f t="shared" si="8"/>
        <v>387.07048324301599</v>
      </c>
      <c r="I63" s="60">
        <f t="shared" si="8"/>
        <v>337.28431612262392</v>
      </c>
      <c r="J63" s="60">
        <f t="shared" si="8"/>
        <v>392.65654800822665</v>
      </c>
      <c r="K63" s="60">
        <f t="shared" si="8"/>
        <v>392.65654800822665</v>
      </c>
      <c r="L63" s="60">
        <f t="shared" si="8"/>
        <v>392.65654800822665</v>
      </c>
      <c r="M63" s="60">
        <f t="shared" si="8"/>
        <v>601.73280717172372</v>
      </c>
      <c r="N63" s="60">
        <f t="shared" si="8"/>
        <v>392.65654800822665</v>
      </c>
      <c r="O63" s="60">
        <f t="shared" si="8"/>
        <v>516.57706714199105</v>
      </c>
      <c r="P63" s="60">
        <f t="shared" si="8"/>
        <v>435.50070856516606</v>
      </c>
      <c r="Q63" s="60">
        <f t="shared" si="8"/>
        <v>392.65654800822665</v>
      </c>
      <c r="R63" s="60">
        <f t="shared" si="8"/>
        <v>222.34908712149786</v>
      </c>
      <c r="S63" s="60">
        <f t="shared" si="8"/>
        <v>315.16737523183269</v>
      </c>
      <c r="T63" s="60">
        <f t="shared" si="8"/>
        <v>398.12018970094164</v>
      </c>
      <c r="U63" s="60">
        <f t="shared" si="8"/>
        <v>742.31818296834751</v>
      </c>
      <c r="V63" s="60">
        <f t="shared" si="8"/>
        <v>381.79477249210669</v>
      </c>
      <c r="W63" s="60">
        <f t="shared" si="8"/>
        <v>278.12569593458841</v>
      </c>
      <c r="X63" s="60">
        <f t="shared" si="8"/>
        <v>392.65654800822665</v>
      </c>
      <c r="Y63" s="60">
        <f t="shared" si="8"/>
        <v>280.18617238633686</v>
      </c>
      <c r="Z63" s="60">
        <f t="shared" si="8"/>
        <v>392.65654800822665</v>
      </c>
      <c r="AA63" s="60">
        <f t="shared" si="8"/>
        <v>437.58895478072043</v>
      </c>
      <c r="AB63" s="60">
        <f t="shared" si="8"/>
        <v>349.15135065210364</v>
      </c>
      <c r="AC63" s="60">
        <f t="shared" si="8"/>
        <v>376.48121725944304</v>
      </c>
      <c r="AD63" s="60">
        <f t="shared" si="8"/>
        <v>313.31372821218542</v>
      </c>
      <c r="AE63" s="60">
        <f t="shared" si="8"/>
        <v>330.54459009522662</v>
      </c>
      <c r="AF63" s="60">
        <f t="shared" si="8"/>
        <v>392.65654800822665</v>
      </c>
      <c r="AG63" s="60">
        <f t="shared" si="8"/>
        <v>276.79334299341195</v>
      </c>
      <c r="AH63" s="60">
        <f t="shared" si="8"/>
        <v>338.20690620765924</v>
      </c>
      <c r="AI63" s="60">
        <f t="shared" ref="AI63:AM63" si="9">SUM(AI54:AI62)</f>
        <v>409.34888224584034</v>
      </c>
      <c r="AJ63" s="60">
        <f t="shared" si="9"/>
        <v>392.65654800822665</v>
      </c>
      <c r="AK63" s="60">
        <f t="shared" si="9"/>
        <v>392.65654800822665</v>
      </c>
      <c r="AL63" s="60">
        <f t="shared" si="9"/>
        <v>392.65654800822665</v>
      </c>
      <c r="AM63" s="60">
        <f t="shared" si="9"/>
        <v>5154.1108927039022</v>
      </c>
      <c r="AN63" s="60">
        <f t="shared" ref="AN63:AP63" si="10">SUM(AN54:AN62)</f>
        <v>108</v>
      </c>
      <c r="AO63" s="60">
        <f t="shared" si="10"/>
        <v>392.65654800822665</v>
      </c>
      <c r="AP63" s="60">
        <f t="shared" si="10"/>
        <v>402.4</v>
      </c>
      <c r="AQ63" s="60">
        <f t="shared" ref="AQ63:AS63" si="11">SUM(AQ54:AQ62)</f>
        <v>59.344599999999993</v>
      </c>
      <c r="AR63" s="60">
        <f t="shared" si="11"/>
        <v>1560.3879772961818</v>
      </c>
      <c r="AS63" s="60">
        <f t="shared" si="11"/>
        <v>392.65654800822665</v>
      </c>
      <c r="AT63" s="60"/>
      <c r="AU63" s="7"/>
    </row>
    <row r="64" spans="2:48" ht="45" x14ac:dyDescent="0.25">
      <c r="B64" s="7" t="s">
        <v>30</v>
      </c>
      <c r="C64" s="10"/>
      <c r="D64" s="35"/>
      <c r="E64" s="10"/>
      <c r="F64" s="10"/>
      <c r="G64" s="10"/>
      <c r="H64" s="35"/>
      <c r="I64" s="10"/>
      <c r="J64" s="10"/>
      <c r="K64" s="10"/>
      <c r="L64" s="35"/>
      <c r="M64" s="10"/>
      <c r="N64" s="10"/>
      <c r="O64" s="35"/>
      <c r="P64" s="10"/>
      <c r="Q64" s="10"/>
      <c r="R64" s="10"/>
      <c r="S64" s="10"/>
      <c r="T64" s="10"/>
      <c r="U64" s="10"/>
      <c r="V64" s="10"/>
      <c r="W64" s="10"/>
      <c r="X64" s="10"/>
      <c r="Y64" s="10"/>
      <c r="Z64" s="10"/>
      <c r="AA64" s="10"/>
      <c r="AB64" s="49"/>
      <c r="AC64" s="10"/>
      <c r="AD64" s="10"/>
      <c r="AE64" s="10"/>
      <c r="AF64" s="10"/>
      <c r="AG64" s="10"/>
      <c r="AH64" s="49"/>
      <c r="AI64" s="10"/>
      <c r="AJ64" s="10"/>
      <c r="AK64" s="10"/>
      <c r="AL64" s="10"/>
      <c r="AM64" s="49"/>
      <c r="AN64" s="10"/>
      <c r="AO64" s="10"/>
      <c r="AP64" s="10"/>
      <c r="AQ64" s="10"/>
      <c r="AR64" s="10"/>
      <c r="AS64" s="10"/>
      <c r="AT64" s="10"/>
      <c r="AU64" s="10"/>
      <c r="AV64">
        <f>INDEX(C64:AU64,0,$AV$4)</f>
        <v>0</v>
      </c>
    </row>
    <row r="65" spans="1:48" s="40" customFormat="1" ht="45" x14ac:dyDescent="0.25">
      <c r="A65" s="40">
        <v>46</v>
      </c>
      <c r="B65" s="41" t="s">
        <v>29</v>
      </c>
      <c r="C65" s="42">
        <v>0.1</v>
      </c>
      <c r="D65" s="43">
        <v>0.1</v>
      </c>
      <c r="E65" s="44">
        <f>Data_as_is!$AX$65</f>
        <v>0.79925000000000024</v>
      </c>
      <c r="F65" s="42">
        <v>0.05</v>
      </c>
      <c r="G65" s="42">
        <v>0.05</v>
      </c>
      <c r="H65" s="43">
        <v>0.05</v>
      </c>
      <c r="I65" s="44">
        <f>Data_as_is!$AX$65</f>
        <v>0.79925000000000024</v>
      </c>
      <c r="J65" s="44">
        <f>Data_as_is!$AX$65</f>
        <v>0.79925000000000024</v>
      </c>
      <c r="K65" s="44">
        <f>Data_as_is!$AX$65</f>
        <v>0.79925000000000024</v>
      </c>
      <c r="L65" s="43">
        <v>0.05</v>
      </c>
      <c r="M65" s="42">
        <v>2.1250000000000002E-2</v>
      </c>
      <c r="N65" s="44">
        <f>Data_as_is!$AX$65</f>
        <v>0.79925000000000024</v>
      </c>
      <c r="O65" s="44">
        <f>Data_as_is!$AX$65</f>
        <v>0.79925000000000024</v>
      </c>
      <c r="P65" s="42">
        <v>4.1000000000000002E-2</v>
      </c>
      <c r="Q65" s="45">
        <v>0.05</v>
      </c>
      <c r="R65" s="44">
        <f>Data_as_is!$AX$65</f>
        <v>0.79925000000000024</v>
      </c>
      <c r="S65" s="42">
        <v>0.05</v>
      </c>
      <c r="T65" s="42">
        <v>0.03</v>
      </c>
      <c r="U65" s="44">
        <f>Data_as_is!$AX$65</f>
        <v>0.79925000000000024</v>
      </c>
      <c r="V65" s="42">
        <v>0.05</v>
      </c>
      <c r="W65" s="44">
        <f>Data_as_is!$AX$65</f>
        <v>0.79925000000000024</v>
      </c>
      <c r="X65" s="44">
        <f>Data_as_is!$AX$65</f>
        <v>0.79925000000000024</v>
      </c>
      <c r="Y65" s="42">
        <v>6.2E-2</v>
      </c>
      <c r="Z65" s="42">
        <v>5.5E-2</v>
      </c>
      <c r="AA65" s="42">
        <v>0.2</v>
      </c>
      <c r="AB65" s="44">
        <f>Data_as_is!$AX$65</f>
        <v>0.79925000000000024</v>
      </c>
      <c r="AC65" s="44">
        <f>Data_as_is!$AX$65</f>
        <v>0.79925000000000024</v>
      </c>
      <c r="AD65" s="44">
        <f>Data_as_is!$AX$65</f>
        <v>0.79925000000000024</v>
      </c>
      <c r="AE65" s="42">
        <v>5.5E-2</v>
      </c>
      <c r="AF65" s="42">
        <v>0.05</v>
      </c>
      <c r="AG65" s="42">
        <v>0.06</v>
      </c>
      <c r="AH65" s="51">
        <v>0.06</v>
      </c>
      <c r="AI65" s="42"/>
      <c r="AJ65" s="42"/>
      <c r="AK65" s="42">
        <v>3.5000000000000003E-2</v>
      </c>
      <c r="AL65" s="42"/>
      <c r="AM65" s="51">
        <v>4.4999999999999998E-2</v>
      </c>
      <c r="AN65" s="42"/>
      <c r="AO65" s="42"/>
      <c r="AP65" s="42">
        <v>0.04</v>
      </c>
      <c r="AQ65" s="42">
        <v>0.05</v>
      </c>
      <c r="AR65" s="42"/>
      <c r="AS65" s="42">
        <v>0.05</v>
      </c>
      <c r="AT65" s="42"/>
      <c r="AU65" s="42"/>
      <c r="AV65" s="40">
        <f>INDEX(C65:AU65,0,$AV$4)</f>
        <v>0.79925000000000024</v>
      </c>
    </row>
    <row r="66" spans="1:48" x14ac:dyDescent="0.25">
      <c r="AC66" s="52" t="s">
        <v>107</v>
      </c>
    </row>
  </sheetData>
  <mergeCells count="1">
    <mergeCell ref="AV2:AV3"/>
  </mergeCells>
  <pageMargins left="0.45" right="0.45" top="0.25" bottom="0.25" header="0.3" footer="0.3"/>
  <pageSetup scale="87" fitToHeight="3"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G64"/>
  <sheetViews>
    <sheetView topLeftCell="A31" workbookViewId="0">
      <selection activeCell="B42" sqref="B42"/>
    </sheetView>
  </sheetViews>
  <sheetFormatPr defaultRowHeight="15" x14ac:dyDescent="0.25"/>
  <cols>
    <col min="1" max="1" width="58.28515625" customWidth="1"/>
    <col min="2" max="2" width="11.42578125" customWidth="1"/>
    <col min="4" max="4" width="46.42578125" customWidth="1"/>
    <col min="5" max="5" width="11.42578125" customWidth="1"/>
    <col min="6" max="6" width="9.85546875" customWidth="1"/>
    <col min="7" max="7" width="10.7109375" customWidth="1"/>
    <col min="8" max="9" width="12.5703125" customWidth="1"/>
    <col min="10" max="10" width="12.42578125" customWidth="1"/>
    <col min="13" max="13" width="34.85546875" customWidth="1"/>
    <col min="14" max="14" width="11.42578125" customWidth="1"/>
    <col min="15" max="15" width="11.7109375" customWidth="1"/>
    <col min="16" max="18" width="10.7109375" customWidth="1"/>
    <col min="19" max="21" width="11" bestFit="1" customWidth="1"/>
    <col min="22" max="22" width="10.85546875" bestFit="1" customWidth="1"/>
    <col min="23" max="23" width="11" bestFit="1" customWidth="1"/>
    <col min="24" max="24" width="11.140625" bestFit="1" customWidth="1"/>
    <col min="25" max="25" width="11.28515625" bestFit="1" customWidth="1"/>
    <col min="26" max="26" width="11" bestFit="1" customWidth="1"/>
    <col min="27" max="27" width="11.42578125" bestFit="1" customWidth="1"/>
    <col min="28" max="28" width="11.140625" bestFit="1" customWidth="1"/>
    <col min="29" max="29" width="11.85546875" bestFit="1" customWidth="1"/>
    <col min="30" max="30" width="11" bestFit="1" customWidth="1"/>
    <col min="31" max="32" width="11.140625" bestFit="1" customWidth="1"/>
    <col min="33" max="34" width="11" bestFit="1" customWidth="1"/>
    <col min="35" max="35" width="11.42578125" bestFit="1" customWidth="1"/>
    <col min="36" max="36" width="11.140625" bestFit="1" customWidth="1"/>
    <col min="37" max="38" width="11" bestFit="1" customWidth="1"/>
    <col min="39" max="40" width="11.42578125" bestFit="1" customWidth="1"/>
    <col min="41" max="50" width="11.42578125" customWidth="1"/>
    <col min="51" max="51" width="12" bestFit="1" customWidth="1"/>
    <col min="52" max="52" width="11" bestFit="1" customWidth="1"/>
    <col min="53" max="53" width="11.140625" bestFit="1" customWidth="1"/>
    <col min="54" max="55" width="11.42578125" bestFit="1" customWidth="1"/>
    <col min="56" max="57" width="14" customWidth="1"/>
    <col min="58" max="58" width="13" customWidth="1"/>
    <col min="59" max="59" width="12.42578125" customWidth="1"/>
  </cols>
  <sheetData>
    <row r="1" spans="1:10" x14ac:dyDescent="0.25">
      <c r="B1" t="s">
        <v>51</v>
      </c>
    </row>
    <row r="2" spans="1:10" x14ac:dyDescent="0.25">
      <c r="B2" t="s">
        <v>53</v>
      </c>
      <c r="H2">
        <f>B18</f>
        <v>40</v>
      </c>
    </row>
    <row r="3" spans="1:10" x14ac:dyDescent="0.25">
      <c r="B3" t="s">
        <v>60</v>
      </c>
      <c r="H3" s="16">
        <v>55</v>
      </c>
    </row>
    <row r="4" spans="1:10" x14ac:dyDescent="0.25">
      <c r="B4" t="s">
        <v>61</v>
      </c>
      <c r="H4" s="16">
        <v>5</v>
      </c>
    </row>
    <row r="5" spans="1:10" x14ac:dyDescent="0.25">
      <c r="B5" t="s">
        <v>54</v>
      </c>
      <c r="H5" s="18">
        <f>H3+H4</f>
        <v>60</v>
      </c>
      <c r="I5" s="18"/>
    </row>
    <row r="6" spans="1:10" x14ac:dyDescent="0.25">
      <c r="B6" t="s">
        <v>62</v>
      </c>
      <c r="H6" s="19">
        <f>365/H5</f>
        <v>6.083333333333333</v>
      </c>
      <c r="I6" s="18"/>
    </row>
    <row r="7" spans="1:10" x14ac:dyDescent="0.25">
      <c r="B7" t="s">
        <v>55</v>
      </c>
      <c r="H7" s="20">
        <f>H2*365/H5</f>
        <v>243.33333333333334</v>
      </c>
      <c r="I7" s="20"/>
    </row>
    <row r="9" spans="1:10" x14ac:dyDescent="0.25">
      <c r="B9" t="s">
        <v>52</v>
      </c>
    </row>
    <row r="10" spans="1:10" x14ac:dyDescent="0.25">
      <c r="B10" s="109" t="s">
        <v>45</v>
      </c>
    </row>
    <row r="11" spans="1:10" ht="45" x14ac:dyDescent="0.25">
      <c r="B11" s="109"/>
      <c r="D11" t="s">
        <v>46</v>
      </c>
      <c r="E11" s="12" t="s">
        <v>47</v>
      </c>
      <c r="F11" s="12" t="s">
        <v>59</v>
      </c>
      <c r="G11" s="12" t="s">
        <v>48</v>
      </c>
      <c r="H11" s="12" t="s">
        <v>56</v>
      </c>
      <c r="I11" s="12" t="s">
        <v>58</v>
      </c>
      <c r="J11" s="12" t="s">
        <v>57</v>
      </c>
    </row>
    <row r="12" spans="1:10" x14ac:dyDescent="0.25">
      <c r="A12" s="76" t="s">
        <v>153</v>
      </c>
      <c r="B12" s="48">
        <v>21</v>
      </c>
    </row>
    <row r="13" spans="1:10" x14ac:dyDescent="0.25">
      <c r="A13" t="str">
        <f>Data_avgs_for_missing!B5</f>
        <v>Farm identification</v>
      </c>
      <c r="B13">
        <f>Data_avgs_for_missing!AV5</f>
        <v>37</v>
      </c>
      <c r="D13" s="17" t="s">
        <v>49</v>
      </c>
      <c r="E13" s="22">
        <f>1-B41</f>
        <v>0.95</v>
      </c>
      <c r="F13" s="70" t="s">
        <v>150</v>
      </c>
    </row>
    <row r="14" spans="1:10" x14ac:dyDescent="0.25">
      <c r="D14" t="str">
        <f>A43</f>
        <v>Market value of a calf when leaving the feeder</v>
      </c>
      <c r="E14" s="24">
        <f>B43</f>
        <v>400</v>
      </c>
      <c r="F14">
        <f>E13*$H$2</f>
        <v>38</v>
      </c>
      <c r="G14" s="30">
        <f>E13*$H$7</f>
        <v>231.16666666666666</v>
      </c>
      <c r="H14" s="23">
        <f>E14*E13</f>
        <v>380</v>
      </c>
      <c r="I14" s="24">
        <f>H14*$H$2</f>
        <v>15200</v>
      </c>
      <c r="J14" s="24">
        <f>H14*$H$7</f>
        <v>92466.666666666672</v>
      </c>
    </row>
    <row r="15" spans="1:10" x14ac:dyDescent="0.25">
      <c r="A15" s="12" t="str">
        <f>Data_avgs_for_missing!B9</f>
        <v>What is the make and model of the feeder installed?</v>
      </c>
      <c r="B15" t="str">
        <f>Data_avgs_for_missing!AV9</f>
        <v>GEA</v>
      </c>
      <c r="D15" t="str">
        <f>A42</f>
        <v>Market value of a calf when placed on the feeder</v>
      </c>
      <c r="E15" s="24">
        <f>B42</f>
        <v>300</v>
      </c>
      <c r="F15" s="24">
        <f>E15*$H$2</f>
        <v>12000</v>
      </c>
      <c r="G15" s="30">
        <f>E15*$H$7</f>
        <v>73000</v>
      </c>
      <c r="H15" s="23">
        <f>E15</f>
        <v>300</v>
      </c>
      <c r="I15" s="24">
        <f>H15*$H$2</f>
        <v>12000</v>
      </c>
      <c r="J15" s="24">
        <f>H15*$H$7</f>
        <v>73000</v>
      </c>
    </row>
    <row r="16" spans="1:10" ht="30" x14ac:dyDescent="0.25">
      <c r="A16" s="12" t="str">
        <f>Data_avgs_for_missing!B10</f>
        <v>When did you put the feeder into operation?                            - year</v>
      </c>
      <c r="B16">
        <f>Data_avgs_for_missing!AV10</f>
        <v>2012</v>
      </c>
      <c r="D16" t="s">
        <v>142</v>
      </c>
      <c r="E16" s="23"/>
      <c r="G16" s="30"/>
      <c r="H16" s="23">
        <f>H14-H15</f>
        <v>80</v>
      </c>
      <c r="I16" s="24">
        <f t="shared" ref="I16:J16" si="0">I14-I15</f>
        <v>3200</v>
      </c>
      <c r="J16" s="24">
        <f t="shared" si="0"/>
        <v>19466.666666666672</v>
      </c>
    </row>
    <row r="17" spans="1:10" x14ac:dyDescent="0.25">
      <c r="A17" s="12" t="str">
        <f>Data_avgs_for_missing!B11</f>
        <v>- month</v>
      </c>
      <c r="B17">
        <f>Data_avgs_for_missing!AV11</f>
        <v>4</v>
      </c>
    </row>
    <row r="18" spans="1:10" x14ac:dyDescent="0.25">
      <c r="A18" s="12" t="str">
        <f>Data_avgs_for_missing!B12</f>
        <v>How many calves are being fed with the feeder currently?</v>
      </c>
      <c r="B18">
        <f>Data_avgs_for_missing!AV12</f>
        <v>40</v>
      </c>
      <c r="D18" s="17" t="s">
        <v>50</v>
      </c>
      <c r="E18" s="23"/>
      <c r="G18" s="30"/>
    </row>
    <row r="19" spans="1:10" x14ac:dyDescent="0.25">
      <c r="A19" s="12" t="str">
        <f>Data_avgs_for_missing!B13</f>
        <v>Feeders now</v>
      </c>
      <c r="B19">
        <f>Data_avgs_for_missing!AV13</f>
        <v>1</v>
      </c>
      <c r="D19" s="17" t="str">
        <f>A33</f>
        <v>Annual operating costs</v>
      </c>
    </row>
    <row r="20" spans="1:10" x14ac:dyDescent="0.25">
      <c r="A20" s="12" t="str">
        <f>Data_avgs_for_missing!B14</f>
        <v>Feeders planned for the long run</v>
      </c>
      <c r="B20">
        <f>Data_avgs_for_missing!AV14</f>
        <v>0</v>
      </c>
      <c r="D20" t="str">
        <f t="shared" ref="D20:D28" si="1">A45</f>
        <v>Feed, $/hd</v>
      </c>
      <c r="E20" s="23">
        <f t="shared" ref="E20:E28" si="2">B45</f>
        <v>85</v>
      </c>
      <c r="F20" s="24"/>
      <c r="G20" s="30">
        <f t="shared" ref="G20:G29" si="3">E20*$H$7</f>
        <v>20683.333333333336</v>
      </c>
      <c r="H20" s="23">
        <f t="shared" ref="H20:H28" si="4">E20</f>
        <v>85</v>
      </c>
      <c r="I20" s="24">
        <f>H20*$H$2</f>
        <v>3400</v>
      </c>
      <c r="J20" s="24">
        <f>H20*$H$7</f>
        <v>20683.333333333336</v>
      </c>
    </row>
    <row r="21" spans="1:10" ht="60" x14ac:dyDescent="0.25">
      <c r="A21" s="12" t="str">
        <f>Data_avgs_for_missing!B15</f>
        <v>If the current number of calves is different from what you intend to feed over the long run, how many calves do you plan to feed with the feeder once those longer-run adjustments are completed?</v>
      </c>
      <c r="B21">
        <f>Data_avgs_for_missing!AV15</f>
        <v>0</v>
      </c>
      <c r="D21" t="str">
        <f t="shared" si="1"/>
        <v>Veterinary/vac., $/hd</v>
      </c>
      <c r="E21" s="23">
        <f t="shared" si="2"/>
        <v>10</v>
      </c>
      <c r="F21" s="24"/>
      <c r="G21" s="30">
        <f t="shared" si="3"/>
        <v>2433.3333333333335</v>
      </c>
      <c r="H21" s="23">
        <f t="shared" si="4"/>
        <v>10</v>
      </c>
      <c r="I21" s="24">
        <f>H21*$H$2</f>
        <v>400</v>
      </c>
      <c r="J21" s="24">
        <f>H21*$H$7</f>
        <v>2433.3333333333335</v>
      </c>
    </row>
    <row r="22" spans="1:10" ht="30" x14ac:dyDescent="0.25">
      <c r="A22" s="12" t="str">
        <f>Data_avgs_for_missing!B16</f>
        <v>Did you need to make changes to a building to house the calves and feeder?</v>
      </c>
      <c r="B22" t="str">
        <f>Data_avgs_for_missing!AV16</f>
        <v>no</v>
      </c>
      <c r="D22" t="str">
        <f t="shared" si="1"/>
        <v>Supplies $/hd</v>
      </c>
      <c r="E22" s="23">
        <f t="shared" si="2"/>
        <v>3</v>
      </c>
      <c r="F22" s="24"/>
      <c r="G22" s="30">
        <f t="shared" si="3"/>
        <v>730</v>
      </c>
      <c r="H22" s="23">
        <f t="shared" si="4"/>
        <v>3</v>
      </c>
      <c r="I22" s="24">
        <f>H22*$H$2</f>
        <v>120</v>
      </c>
      <c r="J22" s="24">
        <f>H22*$H$7</f>
        <v>730</v>
      </c>
    </row>
    <row r="23" spans="1:10" ht="30" x14ac:dyDescent="0.25">
      <c r="A23" s="12" t="str">
        <f>Data_avgs_for_missing!B17</f>
        <v>If so, describe the changes to the building.  For example, did you remodel an existing building, or construct a new building?</v>
      </c>
      <c r="B23">
        <f>Data_avgs_for_missing!AV17</f>
        <v>0</v>
      </c>
      <c r="D23" t="str">
        <f t="shared" si="1"/>
        <v>Fuel &amp; oil $/hd</v>
      </c>
      <c r="E23" s="23">
        <f t="shared" si="2"/>
        <v>2.4182565789473682</v>
      </c>
      <c r="F23" s="24"/>
      <c r="G23" s="30">
        <f t="shared" si="3"/>
        <v>588.44243421052624</v>
      </c>
      <c r="H23" s="23">
        <f t="shared" si="4"/>
        <v>2.4182565789473682</v>
      </c>
      <c r="I23" s="24">
        <f t="shared" ref="I23:I28" si="5">H23*$H$2</f>
        <v>96.730263157894726</v>
      </c>
      <c r="J23" s="24">
        <f t="shared" ref="J23:J28" si="6">H23*$H$7</f>
        <v>588.44243421052624</v>
      </c>
    </row>
    <row r="24" spans="1:10" ht="30" x14ac:dyDescent="0.25">
      <c r="A24" s="12" t="str">
        <f>Data_avgs_for_missing!B19</f>
        <v>Initial investment required to get the feeder and group housing into operation</v>
      </c>
      <c r="B24">
        <f>Data_avgs_for_missing!AV19</f>
        <v>600000</v>
      </c>
      <c r="D24" t="str">
        <f t="shared" si="1"/>
        <v>Utilities $/hd</v>
      </c>
      <c r="E24" s="23">
        <f t="shared" si="2"/>
        <v>5.882352941176471</v>
      </c>
      <c r="F24" s="24"/>
      <c r="G24" s="30">
        <f t="shared" si="3"/>
        <v>1431.372549019608</v>
      </c>
      <c r="H24" s="23">
        <f t="shared" si="4"/>
        <v>5.882352941176471</v>
      </c>
      <c r="I24" s="24">
        <f t="shared" si="5"/>
        <v>235.29411764705884</v>
      </c>
      <c r="J24" s="24">
        <f t="shared" si="6"/>
        <v>1431.372549019608</v>
      </c>
    </row>
    <row r="25" spans="1:10" ht="30" x14ac:dyDescent="0.25">
      <c r="A25" s="12" t="str">
        <f>Data_avgs_for_missing!B20</f>
        <v>How much did the automated calf feeder cost to purchase and install?</v>
      </c>
      <c r="B25">
        <f>Data_avgs_for_missing!AV20</f>
        <v>18000</v>
      </c>
      <c r="D25" t="str">
        <f t="shared" si="1"/>
        <v>Bedding $/hd</v>
      </c>
      <c r="E25" s="23">
        <f t="shared" si="2"/>
        <v>30.160609432288116</v>
      </c>
      <c r="F25" s="24"/>
      <c r="G25" s="30">
        <f t="shared" si="3"/>
        <v>7339.0816285234414</v>
      </c>
      <c r="H25" s="23">
        <f t="shared" si="4"/>
        <v>30.160609432288116</v>
      </c>
      <c r="I25" s="24">
        <f t="shared" si="5"/>
        <v>1206.4243772915247</v>
      </c>
      <c r="J25" s="24">
        <f t="shared" si="6"/>
        <v>7339.0816285234414</v>
      </c>
    </row>
    <row r="26" spans="1:10" ht="30" x14ac:dyDescent="0.25">
      <c r="A26" s="12" t="str">
        <f>Data_avgs_for_missing!B21</f>
        <v>How much did it cost for the building and any equipment other than the feeder itself that was required?</v>
      </c>
      <c r="B26">
        <f>Data_avgs_for_missing!AV21</f>
        <v>540000</v>
      </c>
      <c r="D26" t="str">
        <f t="shared" si="1"/>
        <v>Building lease costs $/hd</v>
      </c>
      <c r="E26" s="23">
        <f t="shared" si="2"/>
        <v>51.683259722733411</v>
      </c>
      <c r="F26" s="24"/>
      <c r="G26" s="30">
        <f t="shared" si="3"/>
        <v>12576.25986586513</v>
      </c>
      <c r="H26" s="23">
        <f t="shared" si="4"/>
        <v>51.683259722733411</v>
      </c>
      <c r="I26" s="24">
        <f t="shared" si="5"/>
        <v>2067.3303889093363</v>
      </c>
      <c r="J26" s="24">
        <f t="shared" si="6"/>
        <v>12576.25986586513</v>
      </c>
    </row>
    <row r="27" spans="1:10" ht="30" x14ac:dyDescent="0.25">
      <c r="A27" s="12" t="str">
        <f>Data_avgs_for_missing!B22</f>
        <v>Have you installed any major, additional features or add-ons to the feeder after the initial installation?</v>
      </c>
      <c r="B27" t="str">
        <f>Data_avgs_for_missing!AV22</f>
        <v>no</v>
      </c>
      <c r="D27" t="str">
        <f t="shared" si="1"/>
        <v>Farm insurance $/hd</v>
      </c>
      <c r="E27" s="23">
        <f t="shared" si="2"/>
        <v>3</v>
      </c>
      <c r="F27" s="24"/>
      <c r="G27" s="30">
        <f t="shared" si="3"/>
        <v>730</v>
      </c>
      <c r="H27" s="23">
        <f t="shared" si="4"/>
        <v>3</v>
      </c>
      <c r="I27" s="24">
        <f t="shared" si="5"/>
        <v>120</v>
      </c>
      <c r="J27" s="24">
        <f t="shared" si="6"/>
        <v>730</v>
      </c>
    </row>
    <row r="28" spans="1:10" x14ac:dyDescent="0.25">
      <c r="A28" s="12" t="str">
        <f>Data_avgs_for_missing!B23</f>
        <v>If so, when did you install those features or add-ons?</v>
      </c>
      <c r="B28">
        <f>Data_avgs_for_missing!AV23</f>
        <v>0</v>
      </c>
      <c r="D28" t="str">
        <f t="shared" si="1"/>
        <v>Miscellaneous $/hd</v>
      </c>
      <c r="E28" s="23">
        <f t="shared" si="2"/>
        <v>86.981217259443056</v>
      </c>
      <c r="F28" s="24"/>
      <c r="G28" s="30">
        <f t="shared" si="3"/>
        <v>21165.429533131144</v>
      </c>
      <c r="H28" s="23">
        <f t="shared" si="4"/>
        <v>86.981217259443056</v>
      </c>
      <c r="I28" s="24">
        <f t="shared" si="5"/>
        <v>3479.2486903777221</v>
      </c>
      <c r="J28" s="24">
        <f t="shared" si="6"/>
        <v>21165.429533131144</v>
      </c>
    </row>
    <row r="29" spans="1:10" x14ac:dyDescent="0.25">
      <c r="A29" s="12" t="str">
        <f>Data_avgs_for_missing!B24</f>
        <v>How much did the features or add-ons cost?</v>
      </c>
      <c r="B29">
        <f>Data_avgs_for_missing!AV24</f>
        <v>0</v>
      </c>
      <c r="D29" s="25" t="s">
        <v>125</v>
      </c>
      <c r="E29" s="23">
        <f>SUM(E20:E28)</f>
        <v>278.12569593458841</v>
      </c>
      <c r="F29" s="24"/>
      <c r="G29" s="30">
        <f t="shared" si="3"/>
        <v>67677.252677416516</v>
      </c>
      <c r="H29" s="23">
        <f>SUM(H20:H28)</f>
        <v>278.12569593458841</v>
      </c>
      <c r="I29" s="24">
        <f t="shared" ref="I29:J29" si="7">SUM(I20:I28)</f>
        <v>11125.027837383537</v>
      </c>
      <c r="J29" s="24">
        <f t="shared" si="7"/>
        <v>67677.252677416516</v>
      </c>
    </row>
    <row r="30" spans="1:10" x14ac:dyDescent="0.25">
      <c r="A30" s="12" t="str">
        <f>Data_avgs_for_missing!B25</f>
        <v>What do you expect the useful life of the feeder to be (years)?</v>
      </c>
      <c r="B30">
        <f>Data_avgs_for_missing!AV25</f>
        <v>20</v>
      </c>
    </row>
    <row r="31" spans="1:10" ht="45" x14ac:dyDescent="0.25">
      <c r="A31" s="12" t="str">
        <f>Data_avgs_for_missing!B26</f>
        <v>If you expect the building changes to last longer than the feeder itself, what do you expect the useful life of the building to be?</v>
      </c>
      <c r="B31">
        <f>Data_avgs_for_missing!AV26</f>
        <v>28.035714285714285</v>
      </c>
      <c r="D31" s="17" t="s">
        <v>63</v>
      </c>
      <c r="E31" s="12" t="s">
        <v>69</v>
      </c>
      <c r="F31" s="26" t="s">
        <v>67</v>
      </c>
      <c r="G31" s="12" t="s">
        <v>68</v>
      </c>
      <c r="H31" s="23"/>
      <c r="I31" s="24"/>
      <c r="J31" s="24"/>
    </row>
    <row r="32" spans="1:10" ht="30" x14ac:dyDescent="0.25">
      <c r="A32" s="12" t="str">
        <f>Data_avgs_for_missing!B27</f>
        <v>What do you expect the useful life of the features or add-ons to be, if less than the feeder itself (years)?</v>
      </c>
      <c r="B32">
        <f>Data_avgs_for_missing!AV27</f>
        <v>0</v>
      </c>
      <c r="D32" t="s">
        <v>66</v>
      </c>
      <c r="E32" s="21">
        <f>B55</f>
        <v>0.79925000000000024</v>
      </c>
      <c r="F32" s="23"/>
      <c r="H32" s="23"/>
      <c r="I32" s="24"/>
      <c r="J32" s="24"/>
    </row>
    <row r="33" spans="1:59" x14ac:dyDescent="0.25">
      <c r="A33" s="12" t="str">
        <f>Data_avgs_for_missing!B28</f>
        <v>Annual operating costs</v>
      </c>
      <c r="B33">
        <f>Data_avgs_for_missing!AV28</f>
        <v>0</v>
      </c>
      <c r="D33" t="s">
        <v>70</v>
      </c>
      <c r="E33">
        <f>B30</f>
        <v>20</v>
      </c>
      <c r="F33" s="27">
        <f>-PMT($E$32,E33,1)</f>
        <v>0.79925632201981933</v>
      </c>
      <c r="G33" s="24">
        <f>B25</f>
        <v>18000</v>
      </c>
      <c r="H33" s="23"/>
      <c r="I33" s="24"/>
      <c r="J33" s="24"/>
    </row>
    <row r="34" spans="1:59" ht="45" x14ac:dyDescent="0.25">
      <c r="A34" s="12" t="str">
        <f>Data_avgs_for_missing!B29</f>
        <v>How much do routine feeder maintenance and repairs cost per year for the feeder, not including labor provided by the regular farm workforce?</v>
      </c>
      <c r="B34">
        <f>Data_avgs_for_missing!AV29</f>
        <v>30000</v>
      </c>
      <c r="D34" t="s">
        <v>72</v>
      </c>
      <c r="G34" s="24">
        <f>B29</f>
        <v>0</v>
      </c>
      <c r="H34" s="23"/>
      <c r="I34" s="24"/>
      <c r="J34" s="24"/>
    </row>
    <row r="35" spans="1:59" ht="30" x14ac:dyDescent="0.25">
      <c r="A35" s="12" t="str">
        <f>Data_avgs_for_missing!B30</f>
        <v>- for the building and any other equipment associated with the feeder?</v>
      </c>
      <c r="B35">
        <f>Data_avgs_for_missing!AV30</f>
        <v>0</v>
      </c>
      <c r="D35" t="s">
        <v>73</v>
      </c>
      <c r="G35" s="24">
        <f>G33+G34</f>
        <v>18000</v>
      </c>
      <c r="H35" s="23">
        <f>J35/$H$7</f>
        <v>59.12307039598663</v>
      </c>
      <c r="I35" s="24">
        <f>J35/$H$6</f>
        <v>2364.9228158394653</v>
      </c>
      <c r="J35" s="24">
        <f>F33*G35</f>
        <v>14386.613796356747</v>
      </c>
    </row>
    <row r="36" spans="1:59" ht="30" x14ac:dyDescent="0.25">
      <c r="A36" s="12" t="str">
        <f>Data_avgs_for_missing!B31</f>
        <v>How much time does the regular farm workforce spend taking care of the calves and feeder per day? Hours</v>
      </c>
      <c r="B36">
        <f>Data_avgs_for_missing!AV31</f>
        <v>4</v>
      </c>
      <c r="D36" t="s">
        <v>71</v>
      </c>
      <c r="E36">
        <f>B31</f>
        <v>28.035714285714285</v>
      </c>
      <c r="F36" s="23"/>
      <c r="G36" s="24"/>
      <c r="H36" s="23"/>
      <c r="I36" s="24"/>
      <c r="J36" s="24"/>
    </row>
    <row r="37" spans="1:59" ht="45" x14ac:dyDescent="0.25">
      <c r="A37" s="12" t="str">
        <f>Data_avgs_for_missing!B32</f>
        <v>How many hours did the farm's workers spend in the past year making repairs to feeder or doing other tasks apart from that regular daily care?</v>
      </c>
      <c r="B37">
        <f>Data_avgs_for_missing!AV32</f>
        <v>25</v>
      </c>
      <c r="D37" t="s">
        <v>64</v>
      </c>
      <c r="E37">
        <f>ROUNDDOWN(E36/E33,0)</f>
        <v>1</v>
      </c>
      <c r="F37" s="23"/>
      <c r="G37" s="24"/>
      <c r="H37" s="23"/>
      <c r="I37" s="24"/>
      <c r="J37" s="24"/>
    </row>
    <row r="38" spans="1:59" ht="45" x14ac:dyDescent="0.25">
      <c r="A38" s="12" t="str">
        <f>Data_avgs_for_missing!B33</f>
        <v>Was last year typical of the time you have spent in previous years or that you expect to spend over the remaining years of the feeder life?  If not, how many hours do you think is typical?</v>
      </c>
      <c r="B38" t="str">
        <f>Data_avgs_for_missing!AV33</f>
        <v>yes</v>
      </c>
      <c r="D38" t="s">
        <v>65</v>
      </c>
      <c r="E38">
        <f>E33*E37</f>
        <v>20</v>
      </c>
      <c r="F38" s="27">
        <f>-PMT($E$32,E38,1)</f>
        <v>0.79925632201981933</v>
      </c>
      <c r="G38" s="24">
        <f>B26</f>
        <v>540000</v>
      </c>
      <c r="H38" s="23">
        <f>J38/$H$7</f>
        <v>1773.692111879599</v>
      </c>
      <c r="I38" s="24">
        <f>J38/$H$6</f>
        <v>70947.684475183967</v>
      </c>
      <c r="J38" s="24">
        <f>F38*G38</f>
        <v>431598.41389070242</v>
      </c>
    </row>
    <row r="39" spans="1:59" ht="45" x14ac:dyDescent="0.25">
      <c r="A39" s="12" t="str">
        <f>Data_avgs_for_missing!B34</f>
        <v>What cost or value do you place on the time spent by the farm's workers to care for the calves and the feeder including fringe benefits,  per hour?</v>
      </c>
      <c r="B39">
        <f>Data_avgs_for_missing!AV34</f>
        <v>20</v>
      </c>
      <c r="F39" s="23"/>
      <c r="H39" s="23"/>
      <c r="I39" s="24"/>
      <c r="J39" s="24"/>
    </row>
    <row r="40" spans="1:59" x14ac:dyDescent="0.25">
      <c r="A40" s="12" t="str">
        <f>Data_avgs_for_missing!B35</f>
        <v>Value of the calves</v>
      </c>
      <c r="B40">
        <f>Data_avgs_for_missing!AV35</f>
        <v>0</v>
      </c>
      <c r="D40" s="25" t="s">
        <v>74</v>
      </c>
      <c r="G40" s="24">
        <f>G35+G38</f>
        <v>558000</v>
      </c>
      <c r="H40" s="23">
        <f>H35+H38</f>
        <v>1832.8151822755856</v>
      </c>
      <c r="I40" s="24">
        <f t="shared" ref="I40:J40" si="8">I35+I38</f>
        <v>73312.607291023436</v>
      </c>
      <c r="J40" s="24">
        <f t="shared" si="8"/>
        <v>445985.02768705919</v>
      </c>
    </row>
    <row r="41" spans="1:59" ht="30" x14ac:dyDescent="0.25">
      <c r="A41" s="12" t="str">
        <f>Data_avgs_for_missing!B36</f>
        <v>Mortality rate of calves while on the feeder, % of number entering</v>
      </c>
      <c r="B41">
        <f>Data_avgs_for_missing!AV36</f>
        <v>0.05</v>
      </c>
      <c r="H41" s="23"/>
      <c r="I41" s="23"/>
      <c r="J41" s="23"/>
    </row>
    <row r="42" spans="1:59" x14ac:dyDescent="0.25">
      <c r="A42" s="12" t="str">
        <f>Data_avgs_for_missing!B37</f>
        <v>Market value of a calf when placed on the feeder</v>
      </c>
      <c r="B42">
        <f>Data_avgs_for_missing!AV37</f>
        <v>300</v>
      </c>
      <c r="D42" s="25" t="s">
        <v>75</v>
      </c>
      <c r="H42" s="23">
        <f>H29+H40</f>
        <v>2110.9408782101741</v>
      </c>
      <c r="I42" s="24">
        <f t="shared" ref="I42:J42" si="9">I29+I40</f>
        <v>84437.635128406968</v>
      </c>
      <c r="J42" s="24">
        <f t="shared" si="9"/>
        <v>513662.28036447568</v>
      </c>
    </row>
    <row r="43" spans="1:59" x14ac:dyDescent="0.25">
      <c r="A43" s="12" t="str">
        <f>Data_avgs_for_missing!B38</f>
        <v>Market value of a calf when leaving the feeder</v>
      </c>
      <c r="B43">
        <f>Data_avgs_for_missing!AV38</f>
        <v>400</v>
      </c>
      <c r="I43" s="24"/>
      <c r="J43" s="24"/>
    </row>
    <row r="44" spans="1:59" ht="30" x14ac:dyDescent="0.25">
      <c r="A44" s="12" t="str">
        <f>Data_avgs_for_missing!B39</f>
        <v>Feed and supplies for the calves, apart from feeder maintenance and repairs</v>
      </c>
      <c r="D44" t="s">
        <v>79</v>
      </c>
      <c r="H44" s="23">
        <f>H16-H42</f>
        <v>-2030.9408782101741</v>
      </c>
      <c r="I44" s="24">
        <f t="shared" ref="I44:J44" si="10">I16-I42</f>
        <v>-81237.635128406968</v>
      </c>
      <c r="J44" s="24">
        <f t="shared" si="10"/>
        <v>-494195.61369780899</v>
      </c>
    </row>
    <row r="45" spans="1:59" x14ac:dyDescent="0.25">
      <c r="A45" s="5" t="s">
        <v>130</v>
      </c>
      <c r="B45" s="23">
        <f>Data_avgs_for_missing!AV54</f>
        <v>85</v>
      </c>
    </row>
    <row r="46" spans="1:59" x14ac:dyDescent="0.25">
      <c r="A46" s="5" t="s">
        <v>83</v>
      </c>
      <c r="B46" s="23">
        <f>Data_avgs_for_missing!AV55</f>
        <v>10</v>
      </c>
    </row>
    <row r="47" spans="1:59" x14ac:dyDescent="0.25">
      <c r="A47" s="5" t="s">
        <v>84</v>
      </c>
      <c r="B47" s="23">
        <f>Data_avgs_for_missing!AV56</f>
        <v>3</v>
      </c>
    </row>
    <row r="48" spans="1:59" ht="45" x14ac:dyDescent="0.25">
      <c r="A48" s="5" t="s">
        <v>131</v>
      </c>
      <c r="B48" s="23">
        <f>Data_avgs_for_missing!AV57</f>
        <v>2.4182565789473682</v>
      </c>
      <c r="M48" t="s">
        <v>77</v>
      </c>
      <c r="N48" s="58"/>
      <c r="O48" s="58">
        <v>1</v>
      </c>
      <c r="P48" s="58">
        <v>3</v>
      </c>
      <c r="Q48" s="58">
        <v>4</v>
      </c>
      <c r="R48" s="58">
        <v>5</v>
      </c>
      <c r="S48" s="58">
        <v>7</v>
      </c>
      <c r="T48" s="58">
        <v>8</v>
      </c>
      <c r="U48" s="58">
        <v>9</v>
      </c>
      <c r="V48" s="58">
        <v>11</v>
      </c>
      <c r="W48" s="58">
        <v>12</v>
      </c>
      <c r="X48" s="58">
        <v>14</v>
      </c>
      <c r="Y48" s="58">
        <v>15</v>
      </c>
      <c r="Z48" s="58">
        <v>16</v>
      </c>
      <c r="AA48" s="58">
        <v>17</v>
      </c>
      <c r="AB48" s="58">
        <v>18</v>
      </c>
      <c r="AC48" s="58">
        <v>19</v>
      </c>
      <c r="AD48" s="58">
        <v>20</v>
      </c>
      <c r="AE48" s="58">
        <v>21</v>
      </c>
      <c r="AF48" s="58">
        <v>22</v>
      </c>
      <c r="AG48" s="58">
        <v>23</v>
      </c>
      <c r="AH48" s="58">
        <v>24</v>
      </c>
      <c r="AI48" s="58">
        <v>25</v>
      </c>
      <c r="AJ48" s="58">
        <v>27</v>
      </c>
      <c r="AK48" s="58">
        <v>28</v>
      </c>
      <c r="AL48" s="58">
        <v>29</v>
      </c>
      <c r="AM48" s="58">
        <v>30</v>
      </c>
      <c r="AN48" s="58">
        <v>31</v>
      </c>
      <c r="AO48" s="58">
        <v>33</v>
      </c>
      <c r="AP48" s="58">
        <v>34</v>
      </c>
      <c r="AQ48" s="58">
        <v>35</v>
      </c>
      <c r="AR48" s="58">
        <v>36</v>
      </c>
      <c r="AS48" s="58">
        <v>38</v>
      </c>
      <c r="AT48" s="58">
        <v>39</v>
      </c>
      <c r="AU48" s="58">
        <v>40</v>
      </c>
      <c r="AV48" s="58">
        <v>41</v>
      </c>
      <c r="AW48" s="58">
        <v>43</v>
      </c>
      <c r="AX48" s="58">
        <v>2</v>
      </c>
      <c r="AY48" s="71">
        <v>6</v>
      </c>
      <c r="AZ48" s="71">
        <v>10</v>
      </c>
      <c r="BA48" s="71">
        <v>13</v>
      </c>
      <c r="BB48" s="71">
        <v>26</v>
      </c>
      <c r="BC48" s="71">
        <v>32</v>
      </c>
      <c r="BD48" s="71">
        <v>37</v>
      </c>
      <c r="BE48" s="71">
        <v>42</v>
      </c>
      <c r="BF48" s="12" t="s">
        <v>152</v>
      </c>
      <c r="BG48" s="75" t="s">
        <v>151</v>
      </c>
    </row>
    <row r="49" spans="1:59" ht="30" x14ac:dyDescent="0.25">
      <c r="A49" s="5" t="s">
        <v>132</v>
      </c>
      <c r="B49" s="23">
        <f>Data_avgs_for_missing!AV58</f>
        <v>5.882352941176471</v>
      </c>
      <c r="M49" s="1" t="s">
        <v>147</v>
      </c>
      <c r="N49" s="65">
        <f>IFERROR(B13,"na")</f>
        <v>37</v>
      </c>
      <c r="O49" s="58">
        <f t="dataTable" ref="O49:BE64" dt2D="0" dtr="1" r1="B12"/>
        <v>1</v>
      </c>
      <c r="P49" s="58">
        <v>2</v>
      </c>
      <c r="Q49" s="58">
        <v>4</v>
      </c>
      <c r="R49" s="58">
        <v>8</v>
      </c>
      <c r="S49" s="58">
        <v>9</v>
      </c>
      <c r="T49" s="58">
        <v>10</v>
      </c>
      <c r="U49" s="58">
        <v>11</v>
      </c>
      <c r="V49" s="58">
        <v>12</v>
      </c>
      <c r="W49" s="58">
        <v>13</v>
      </c>
      <c r="X49" s="58">
        <v>17</v>
      </c>
      <c r="Y49" s="58">
        <v>21</v>
      </c>
      <c r="Z49" s="58">
        <v>24</v>
      </c>
      <c r="AA49" s="58">
        <v>25</v>
      </c>
      <c r="AB49" s="58">
        <v>26</v>
      </c>
      <c r="AC49" s="58">
        <v>29</v>
      </c>
      <c r="AD49" s="58">
        <v>30</v>
      </c>
      <c r="AE49" s="58">
        <v>37</v>
      </c>
      <c r="AF49" s="58">
        <v>38</v>
      </c>
      <c r="AG49" s="58">
        <v>39</v>
      </c>
      <c r="AH49" s="58">
        <v>43</v>
      </c>
      <c r="AI49" s="58">
        <v>45</v>
      </c>
      <c r="AJ49" s="58">
        <v>46</v>
      </c>
      <c r="AK49" s="58">
        <v>52</v>
      </c>
      <c r="AL49" s="58">
        <v>58</v>
      </c>
      <c r="AM49" s="58">
        <v>59</v>
      </c>
      <c r="AN49" s="58">
        <v>61</v>
      </c>
      <c r="AO49" s="58">
        <v>5</v>
      </c>
      <c r="AP49" s="58">
        <v>6</v>
      </c>
      <c r="AQ49" s="58">
        <v>19</v>
      </c>
      <c r="AR49" s="58">
        <v>62</v>
      </c>
      <c r="AS49" s="58">
        <v>63</v>
      </c>
      <c r="AT49" s="58">
        <v>32</v>
      </c>
      <c r="AU49" s="58">
        <v>33</v>
      </c>
      <c r="AV49" s="58">
        <v>40</v>
      </c>
      <c r="AW49" s="58">
        <v>41</v>
      </c>
      <c r="AX49" s="58" t="str">
        <v>1 long term</v>
      </c>
      <c r="AY49" s="71" t="str">
        <v>8 long term</v>
      </c>
      <c r="AZ49" s="71" t="str">
        <v>11 long term</v>
      </c>
      <c r="BA49" s="71" t="str">
        <v>13 long term</v>
      </c>
      <c r="BB49" s="71" t="str">
        <v>45 long term</v>
      </c>
      <c r="BC49" s="71" t="str">
        <v>61 long term</v>
      </c>
      <c r="BD49" s="71" t="str">
        <v>62 long term</v>
      </c>
      <c r="BE49" s="71" t="str">
        <v>40 long term</v>
      </c>
      <c r="BG49" s="46"/>
    </row>
    <row r="50" spans="1:59" x14ac:dyDescent="0.25">
      <c r="A50" s="5" t="s">
        <v>133</v>
      </c>
      <c r="B50" s="23">
        <f>Data_avgs_for_missing!AV59</f>
        <v>30.160609432288116</v>
      </c>
      <c r="M50" t="s">
        <v>86</v>
      </c>
      <c r="N50" s="66">
        <f>IFERROR(B43,"na")</f>
        <v>400</v>
      </c>
      <c r="O50" s="56">
        <v>400</v>
      </c>
      <c r="P50" s="56">
        <v>500</v>
      </c>
      <c r="Q50" s="56">
        <v>500</v>
      </c>
      <c r="R50" s="56">
        <v>300</v>
      </c>
      <c r="S50" s="56">
        <v>350</v>
      </c>
      <c r="T50" s="56">
        <v>300</v>
      </c>
      <c r="U50" s="56">
        <v>300</v>
      </c>
      <c r="V50" s="56">
        <v>400</v>
      </c>
      <c r="W50" s="56">
        <v>400</v>
      </c>
      <c r="X50" s="56">
        <v>300</v>
      </c>
      <c r="Y50" s="56">
        <v>350</v>
      </c>
      <c r="Z50" s="56">
        <v>225</v>
      </c>
      <c r="AA50" s="56">
        <v>325</v>
      </c>
      <c r="AB50" s="56">
        <v>500</v>
      </c>
      <c r="AC50" s="56">
        <v>358.4</v>
      </c>
      <c r="AD50" s="56">
        <v>350</v>
      </c>
      <c r="AE50" s="56">
        <v>400</v>
      </c>
      <c r="AF50" s="56">
        <v>358.4</v>
      </c>
      <c r="AG50" s="56">
        <v>250</v>
      </c>
      <c r="AH50" s="56">
        <v>320</v>
      </c>
      <c r="AI50" s="56">
        <v>500</v>
      </c>
      <c r="AJ50" s="56">
        <v>300</v>
      </c>
      <c r="AK50" s="56">
        <v>250</v>
      </c>
      <c r="AL50" s="56">
        <v>250</v>
      </c>
      <c r="AM50" s="56">
        <v>375</v>
      </c>
      <c r="AN50" s="56">
        <v>450</v>
      </c>
      <c r="AO50" s="56">
        <v>500</v>
      </c>
      <c r="AP50" s="56">
        <v>400</v>
      </c>
      <c r="AQ50" s="56">
        <v>350</v>
      </c>
      <c r="AR50" s="56">
        <v>350</v>
      </c>
      <c r="AS50" s="56">
        <v>358.4</v>
      </c>
      <c r="AT50" s="56">
        <v>358.4</v>
      </c>
      <c r="AU50" s="56">
        <v>500</v>
      </c>
      <c r="AV50" s="56">
        <v>287</v>
      </c>
      <c r="AW50" s="56">
        <v>270</v>
      </c>
      <c r="AX50" s="56">
        <v>400</v>
      </c>
      <c r="AY50" s="72">
        <v>300</v>
      </c>
      <c r="AZ50" s="72">
        <v>300</v>
      </c>
      <c r="BA50" s="72">
        <v>400</v>
      </c>
      <c r="BB50" s="72">
        <v>500</v>
      </c>
      <c r="BC50" s="72">
        <v>450</v>
      </c>
      <c r="BD50" s="72">
        <v>350</v>
      </c>
      <c r="BE50" s="72">
        <v>287</v>
      </c>
      <c r="BF50" s="24">
        <f>AVERAGE(O50:AX50)</f>
        <v>363.48888888888882</v>
      </c>
      <c r="BG50" s="73">
        <f>AVERAGE(AY50:BE50)</f>
        <v>369.57142857142856</v>
      </c>
    </row>
    <row r="51" spans="1:59" x14ac:dyDescent="0.25">
      <c r="A51" s="5" t="s">
        <v>134</v>
      </c>
      <c r="B51" s="23">
        <f>Data_avgs_for_missing!AV60</f>
        <v>51.683259722733411</v>
      </c>
      <c r="M51" t="s">
        <v>124</v>
      </c>
      <c r="N51" s="66">
        <f>IFERROR(B42,"na")</f>
        <v>300</v>
      </c>
      <c r="O51" s="56">
        <v>200</v>
      </c>
      <c r="P51" s="56">
        <v>250</v>
      </c>
      <c r="Q51" s="56">
        <v>250</v>
      </c>
      <c r="R51" s="56">
        <v>150</v>
      </c>
      <c r="S51" s="56">
        <v>250</v>
      </c>
      <c r="T51" s="56">
        <v>100</v>
      </c>
      <c r="U51" s="56">
        <v>120</v>
      </c>
      <c r="V51" s="56">
        <v>150</v>
      </c>
      <c r="W51" s="56">
        <v>200</v>
      </c>
      <c r="X51" s="56">
        <v>150</v>
      </c>
      <c r="Y51" s="56">
        <v>80</v>
      </c>
      <c r="Z51" s="56">
        <v>100</v>
      </c>
      <c r="AA51" s="56">
        <v>150</v>
      </c>
      <c r="AB51" s="56">
        <v>300</v>
      </c>
      <c r="AC51" s="56">
        <v>173</v>
      </c>
      <c r="AD51" s="56">
        <v>150</v>
      </c>
      <c r="AE51" s="56">
        <v>300</v>
      </c>
      <c r="AF51" s="56">
        <v>173</v>
      </c>
      <c r="AG51" s="56">
        <v>115</v>
      </c>
      <c r="AH51" s="56">
        <v>150</v>
      </c>
      <c r="AI51" s="56">
        <v>300</v>
      </c>
      <c r="AJ51" s="56">
        <v>100</v>
      </c>
      <c r="AK51" s="56">
        <v>100</v>
      </c>
      <c r="AL51" s="56">
        <v>100</v>
      </c>
      <c r="AM51" s="56">
        <v>150</v>
      </c>
      <c r="AN51" s="56">
        <v>200</v>
      </c>
      <c r="AO51" s="56">
        <v>275</v>
      </c>
      <c r="AP51" s="56">
        <v>150</v>
      </c>
      <c r="AQ51" s="56">
        <v>200</v>
      </c>
      <c r="AR51" s="56">
        <v>200</v>
      </c>
      <c r="AS51" s="56">
        <v>173</v>
      </c>
      <c r="AT51" s="56">
        <v>173</v>
      </c>
      <c r="AU51" s="56">
        <v>300</v>
      </c>
      <c r="AV51" s="56">
        <v>100</v>
      </c>
      <c r="AW51" s="56">
        <v>100</v>
      </c>
      <c r="AX51" s="56">
        <v>200</v>
      </c>
      <c r="AY51" s="72">
        <v>150</v>
      </c>
      <c r="AZ51" s="72">
        <v>120</v>
      </c>
      <c r="BA51" s="72">
        <v>200</v>
      </c>
      <c r="BB51" s="72">
        <v>300</v>
      </c>
      <c r="BC51" s="72">
        <v>200</v>
      </c>
      <c r="BD51" s="72">
        <v>200</v>
      </c>
      <c r="BE51" s="72">
        <v>100</v>
      </c>
      <c r="BF51" s="24">
        <f t="shared" ref="BF51:BF64" si="11">AVERAGE(O51:AX51)</f>
        <v>175.88888888888889</v>
      </c>
      <c r="BG51" s="73">
        <f t="shared" ref="BG51:BG64" si="12">AVERAGE(AY51:BE51)</f>
        <v>181.42857142857142</v>
      </c>
    </row>
    <row r="52" spans="1:59" x14ac:dyDescent="0.25">
      <c r="A52" s="5" t="s">
        <v>135</v>
      </c>
      <c r="B52" s="23">
        <f>Data_avgs_for_missing!AV61</f>
        <v>3</v>
      </c>
      <c r="M52" t="s">
        <v>140</v>
      </c>
      <c r="N52" s="67">
        <f>N50-N51</f>
        <v>100</v>
      </c>
      <c r="O52" s="56">
        <v>200</v>
      </c>
      <c r="P52" s="56">
        <v>250</v>
      </c>
      <c r="Q52" s="56">
        <v>250</v>
      </c>
      <c r="R52" s="56">
        <v>150</v>
      </c>
      <c r="S52" s="56">
        <v>100</v>
      </c>
      <c r="T52" s="56">
        <v>200</v>
      </c>
      <c r="U52" s="56">
        <v>180</v>
      </c>
      <c r="V52" s="56">
        <v>250</v>
      </c>
      <c r="W52" s="56">
        <v>200</v>
      </c>
      <c r="X52" s="56">
        <v>150</v>
      </c>
      <c r="Y52" s="56">
        <v>270</v>
      </c>
      <c r="Z52" s="56">
        <v>125</v>
      </c>
      <c r="AA52" s="56">
        <v>175</v>
      </c>
      <c r="AB52" s="56">
        <v>200</v>
      </c>
      <c r="AC52" s="56">
        <v>185.39999999999998</v>
      </c>
      <c r="AD52" s="56">
        <v>200</v>
      </c>
      <c r="AE52" s="56">
        <v>100</v>
      </c>
      <c r="AF52" s="56">
        <v>185.39999999999998</v>
      </c>
      <c r="AG52" s="56">
        <v>135</v>
      </c>
      <c r="AH52" s="56">
        <v>170</v>
      </c>
      <c r="AI52" s="56">
        <v>200</v>
      </c>
      <c r="AJ52" s="56">
        <v>200</v>
      </c>
      <c r="AK52" s="56">
        <v>150</v>
      </c>
      <c r="AL52" s="56">
        <v>150</v>
      </c>
      <c r="AM52" s="56">
        <v>225</v>
      </c>
      <c r="AN52" s="56">
        <v>250</v>
      </c>
      <c r="AO52" s="56">
        <v>225</v>
      </c>
      <c r="AP52" s="56">
        <v>250</v>
      </c>
      <c r="AQ52" s="56">
        <v>150</v>
      </c>
      <c r="AR52" s="56">
        <v>150</v>
      </c>
      <c r="AS52" s="56">
        <v>185.39999999999998</v>
      </c>
      <c r="AT52" s="56">
        <v>185.39999999999998</v>
      </c>
      <c r="AU52" s="56">
        <v>200</v>
      </c>
      <c r="AV52" s="56">
        <v>187</v>
      </c>
      <c r="AW52" s="56">
        <v>170</v>
      </c>
      <c r="AX52" s="56">
        <v>200</v>
      </c>
      <c r="AY52" s="72">
        <v>150</v>
      </c>
      <c r="AZ52" s="72">
        <v>180</v>
      </c>
      <c r="BA52" s="72">
        <v>200</v>
      </c>
      <c r="BB52" s="72">
        <v>200</v>
      </c>
      <c r="BC52" s="72">
        <v>250</v>
      </c>
      <c r="BD52" s="72">
        <v>150</v>
      </c>
      <c r="BE52" s="72">
        <v>187</v>
      </c>
      <c r="BF52" s="24">
        <f t="shared" si="11"/>
        <v>187.6</v>
      </c>
      <c r="BG52" s="73">
        <f t="shared" si="12"/>
        <v>188.14285714285714</v>
      </c>
    </row>
    <row r="53" spans="1:59" x14ac:dyDescent="0.25">
      <c r="A53" s="5" t="s">
        <v>136</v>
      </c>
      <c r="B53" s="23">
        <f>Data_avgs_for_missing!AV62</f>
        <v>86.981217259443056</v>
      </c>
      <c r="M53" t="s">
        <v>85</v>
      </c>
      <c r="N53" s="66">
        <f>IFERROR(IF(H29&gt;0,H29,"na"),"na")</f>
        <v>278.12569593458841</v>
      </c>
      <c r="O53" s="56">
        <v>398.98121725944304</v>
      </c>
      <c r="P53" s="56">
        <v>224.92220111111766</v>
      </c>
      <c r="Q53" s="56">
        <v>313.31372821218542</v>
      </c>
      <c r="R53" s="56">
        <v>392.65654800822665</v>
      </c>
      <c r="S53" s="56">
        <v>337.28431612262392</v>
      </c>
      <c r="T53" s="56">
        <v>392.65654800822665</v>
      </c>
      <c r="U53" s="56">
        <v>392.65654800822665</v>
      </c>
      <c r="V53" s="56">
        <v>601.73280717172372</v>
      </c>
      <c r="W53" s="56">
        <v>392.65654800822665</v>
      </c>
      <c r="X53" s="56">
        <v>435.50070856516606</v>
      </c>
      <c r="Y53" s="56">
        <v>392.65654800822665</v>
      </c>
      <c r="Z53" s="56">
        <v>222.34908712149786</v>
      </c>
      <c r="AA53" s="56">
        <v>315.16737523183269</v>
      </c>
      <c r="AB53" s="56">
        <v>398.12018970094164</v>
      </c>
      <c r="AC53" s="56">
        <v>742.31818296834751</v>
      </c>
      <c r="AD53" s="56">
        <v>381.79477249210669</v>
      </c>
      <c r="AE53" s="56">
        <v>278.12569593458841</v>
      </c>
      <c r="AF53" s="56">
        <v>392.65654800822665</v>
      </c>
      <c r="AG53" s="56">
        <v>280.18617238633686</v>
      </c>
      <c r="AH53" s="56">
        <v>392.65654800822665</v>
      </c>
      <c r="AI53" s="56">
        <v>437.58895478072043</v>
      </c>
      <c r="AJ53" s="56">
        <v>376.48121725944304</v>
      </c>
      <c r="AK53" s="56">
        <v>313.31372821218542</v>
      </c>
      <c r="AL53" s="56">
        <v>330.54459009522662</v>
      </c>
      <c r="AM53" s="56">
        <v>392.65654800822665</v>
      </c>
      <c r="AN53" s="56">
        <v>276.79334299341195</v>
      </c>
      <c r="AO53" s="56">
        <v>409.34888224584034</v>
      </c>
      <c r="AP53" s="56">
        <v>392.65654800822665</v>
      </c>
      <c r="AQ53" s="56">
        <v>392.65654800822665</v>
      </c>
      <c r="AR53" s="56">
        <v>392.65654800822665</v>
      </c>
      <c r="AS53" s="56">
        <v>108</v>
      </c>
      <c r="AT53" s="56">
        <v>392.65654800822665</v>
      </c>
      <c r="AU53" s="56">
        <v>402.4</v>
      </c>
      <c r="AV53" s="56">
        <v>59.344599999999993</v>
      </c>
      <c r="AW53" s="56">
        <v>392.65654800822665</v>
      </c>
      <c r="AX53" s="56">
        <v>392.65654800822665</v>
      </c>
      <c r="AY53" s="72">
        <v>387.07048324301599</v>
      </c>
      <c r="AZ53" s="72">
        <v>392.65654800822665</v>
      </c>
      <c r="BA53" s="72">
        <v>516.57706714199105</v>
      </c>
      <c r="BB53" s="72">
        <v>349.15135065210364</v>
      </c>
      <c r="BC53" s="72">
        <v>338.20690620765924</v>
      </c>
      <c r="BD53" s="72">
        <v>5154.1108927039022</v>
      </c>
      <c r="BE53" s="72">
        <v>1560.3879772961818</v>
      </c>
      <c r="BF53" s="24">
        <f t="shared" si="11"/>
        <v>365.02231783277534</v>
      </c>
      <c r="BG53" s="73">
        <f t="shared" si="12"/>
        <v>1242.59446075044</v>
      </c>
    </row>
    <row r="54" spans="1:59" x14ac:dyDescent="0.25">
      <c r="A54" t="str">
        <f>Data_avgs_for_missing!B64</f>
        <v>Note:  I will calculate depreciation (straight-line economic depreciation) and interest on average investment based on the useful lives entered above, and based on this interest rate.</v>
      </c>
      <c r="B54">
        <f>Data_avgs_for_missing!AV64</f>
        <v>0</v>
      </c>
      <c r="M54" t="s">
        <v>122</v>
      </c>
      <c r="N54" s="66">
        <f>IFERROR(H40,"na")</f>
        <v>1832.8151822755856</v>
      </c>
      <c r="O54" s="56">
        <v>11.85957294893546</v>
      </c>
      <c r="P54" s="56">
        <v>394.74357209806055</v>
      </c>
      <c r="Q54" s="56">
        <v>48.775249659588013</v>
      </c>
      <c r="R54" s="56">
        <v>21.475304741076691</v>
      </c>
      <c r="S54" s="56">
        <v>190.26679950767698</v>
      </c>
      <c r="T54" s="56">
        <v>164.09291039529029</v>
      </c>
      <c r="U54" s="56">
        <v>94.789059230054932</v>
      </c>
      <c r="V54" s="56">
        <v>31.958796498853182</v>
      </c>
      <c r="W54" s="56">
        <v>164.53867833790571</v>
      </c>
      <c r="X54" s="56">
        <v>8.8980049057753163</v>
      </c>
      <c r="Y54" s="56">
        <v>22.074219557904822</v>
      </c>
      <c r="Z54" s="56">
        <v>262.80632121799579</v>
      </c>
      <c r="AA54" s="56">
        <v>8.7658213514088299</v>
      </c>
      <c r="AB54" s="56">
        <v>24.937612939208361</v>
      </c>
      <c r="AC54" s="56">
        <v>189.82356059440417</v>
      </c>
      <c r="AD54" s="56">
        <v>15.986194629368184</v>
      </c>
      <c r="AE54" s="56">
        <v>1832.8151822755856</v>
      </c>
      <c r="AF54" s="56">
        <v>50.510079893855249</v>
      </c>
      <c r="AG54" s="56">
        <v>9.6471247920759833</v>
      </c>
      <c r="AH54" s="56">
        <v>20.96231752342328</v>
      </c>
      <c r="AI54" s="56">
        <v>46.441096805045262</v>
      </c>
      <c r="AJ54" s="56">
        <v>86.883812416124826</v>
      </c>
      <c r="AK54" s="56">
        <v>221.56791547158787</v>
      </c>
      <c r="AL54" s="56">
        <v>47.423975548208531</v>
      </c>
      <c r="AM54" s="56">
        <v>8.2275567247644901</v>
      </c>
      <c r="AN54" s="56">
        <v>37.968580105422333</v>
      </c>
      <c r="AO54" s="56">
        <v>55.084394825330051</v>
      </c>
      <c r="AP54" s="56">
        <v>15.546336160034791</v>
      </c>
      <c r="AQ54" s="56">
        <v>13.067181066703515</v>
      </c>
      <c r="AR54" s="56">
        <v>12.206494762288477</v>
      </c>
      <c r="AS54" s="56">
        <v>0</v>
      </c>
      <c r="AT54" s="56">
        <v>6.4742532483666491</v>
      </c>
      <c r="AU54" s="56">
        <v>7.7620401690017964</v>
      </c>
      <c r="AV54" s="56">
        <v>12.698245385020158</v>
      </c>
      <c r="AW54" s="56">
        <v>26.644935801402159</v>
      </c>
      <c r="AX54" s="56">
        <v>10.990693532809779</v>
      </c>
      <c r="AY54" s="72">
        <v>21.475304741076691</v>
      </c>
      <c r="AZ54" s="72">
        <v>8.5675578513879174</v>
      </c>
      <c r="BA54" s="72">
        <v>87.753961780216372</v>
      </c>
      <c r="BB54" s="72">
        <v>153.72651097967906</v>
      </c>
      <c r="BC54" s="72">
        <v>31.640483421185277</v>
      </c>
      <c r="BD54" s="72">
        <v>12.246856609379922</v>
      </c>
      <c r="BE54" s="72">
        <v>6.5231572080887146</v>
      </c>
      <c r="BF54" s="24">
        <f t="shared" si="11"/>
        <v>116.07538597557105</v>
      </c>
      <c r="BG54" s="73">
        <f t="shared" si="12"/>
        <v>45.990547513001992</v>
      </c>
    </row>
    <row r="55" spans="1:59" x14ac:dyDescent="0.25">
      <c r="A55" t="str">
        <f>Data_avgs_for_missing!B65</f>
        <v>General information - What is the opportunity cost (interest rate) you would place on the investment you made in the feeder, building, and related equipment (%/year)</v>
      </c>
      <c r="B55" s="21">
        <f>Data_avgs_for_missing!AV65</f>
        <v>0.79925000000000024</v>
      </c>
      <c r="M55" t="s">
        <v>141</v>
      </c>
      <c r="N55" s="67">
        <f>N53+N54</f>
        <v>2110.9408782101741</v>
      </c>
      <c r="O55" s="56">
        <v>410.84079020837851</v>
      </c>
      <c r="P55" s="56">
        <v>619.66577320917827</v>
      </c>
      <c r="Q55" s="56">
        <v>362.08897787177341</v>
      </c>
      <c r="R55" s="56">
        <v>414.13185274930333</v>
      </c>
      <c r="S55" s="56">
        <v>527.55111563030096</v>
      </c>
      <c r="T55" s="56">
        <v>556.74945840351688</v>
      </c>
      <c r="U55" s="56">
        <v>487.44560723828158</v>
      </c>
      <c r="V55" s="56">
        <v>633.69160367057691</v>
      </c>
      <c r="W55" s="56">
        <v>557.19522634613236</v>
      </c>
      <c r="X55" s="56">
        <v>444.3987134709414</v>
      </c>
      <c r="Y55" s="56">
        <v>414.73076756613148</v>
      </c>
      <c r="Z55" s="56">
        <v>485.15540833949365</v>
      </c>
      <c r="AA55" s="56">
        <v>323.93319658324151</v>
      </c>
      <c r="AB55" s="56">
        <v>423.05780264014999</v>
      </c>
      <c r="AC55" s="56">
        <v>932.14174356275169</v>
      </c>
      <c r="AD55" s="56">
        <v>397.78096712147487</v>
      </c>
      <c r="AE55" s="56">
        <v>2110.9408782101741</v>
      </c>
      <c r="AF55" s="56">
        <v>443.16662790208193</v>
      </c>
      <c r="AG55" s="56">
        <v>289.83329717841286</v>
      </c>
      <c r="AH55" s="56">
        <v>413.61886553164993</v>
      </c>
      <c r="AI55" s="56">
        <v>484.0300515857657</v>
      </c>
      <c r="AJ55" s="56">
        <v>463.36502967556788</v>
      </c>
      <c r="AK55" s="56">
        <v>534.88164368377329</v>
      </c>
      <c r="AL55" s="56">
        <v>377.96856564343517</v>
      </c>
      <c r="AM55" s="56">
        <v>400.88410473299115</v>
      </c>
      <c r="AN55" s="56">
        <v>314.7619230988343</v>
      </c>
      <c r="AO55" s="56">
        <v>464.43327707117038</v>
      </c>
      <c r="AP55" s="56">
        <v>408.20288416826145</v>
      </c>
      <c r="AQ55" s="56">
        <v>405.72372907493019</v>
      </c>
      <c r="AR55" s="56">
        <v>404.86304277051511</v>
      </c>
      <c r="AS55" s="56">
        <v>108</v>
      </c>
      <c r="AT55" s="56">
        <v>399.13080125659332</v>
      </c>
      <c r="AU55" s="56">
        <v>410.16204016900178</v>
      </c>
      <c r="AV55" s="56">
        <v>72.042845385020144</v>
      </c>
      <c r="AW55" s="56">
        <v>419.30148380962879</v>
      </c>
      <c r="AX55" s="56">
        <v>403.64724154103641</v>
      </c>
      <c r="AY55" s="72">
        <v>408.54578798409267</v>
      </c>
      <c r="AZ55" s="72">
        <v>401.22410585961455</v>
      </c>
      <c r="BA55" s="72">
        <v>604.33102892220745</v>
      </c>
      <c r="BB55" s="72">
        <v>502.87786163178271</v>
      </c>
      <c r="BC55" s="72">
        <v>369.8473896288445</v>
      </c>
      <c r="BD55" s="72">
        <v>5166.3577493132825</v>
      </c>
      <c r="BE55" s="72">
        <v>1566.9111345042704</v>
      </c>
      <c r="BF55" s="24">
        <f t="shared" si="11"/>
        <v>481.09770380834652</v>
      </c>
      <c r="BG55" s="73">
        <f t="shared" si="12"/>
        <v>1288.5850082634422</v>
      </c>
    </row>
    <row r="56" spans="1:59" x14ac:dyDescent="0.25">
      <c r="M56" t="s">
        <v>78</v>
      </c>
      <c r="N56" s="66">
        <f>N52-N55</f>
        <v>-2010.9408782101741</v>
      </c>
      <c r="O56" s="56">
        <v>-210.84079020837851</v>
      </c>
      <c r="P56" s="56">
        <v>-369.66577320917827</v>
      </c>
      <c r="Q56" s="56">
        <v>-112.08897787177341</v>
      </c>
      <c r="R56" s="56">
        <v>-264.13185274930333</v>
      </c>
      <c r="S56" s="56">
        <v>-427.55111563030096</v>
      </c>
      <c r="T56" s="56">
        <v>-356.74945840351688</v>
      </c>
      <c r="U56" s="56">
        <v>-307.44560723828158</v>
      </c>
      <c r="V56" s="56">
        <v>-383.69160367057691</v>
      </c>
      <c r="W56" s="56">
        <v>-357.19522634613236</v>
      </c>
      <c r="X56" s="56">
        <v>-294.3987134709414</v>
      </c>
      <c r="Y56" s="56">
        <v>-144.73076756613148</v>
      </c>
      <c r="Z56" s="56">
        <v>-360.15540833949365</v>
      </c>
      <c r="AA56" s="56">
        <v>-148.93319658324151</v>
      </c>
      <c r="AB56" s="56">
        <v>-223.05780264014999</v>
      </c>
      <c r="AC56" s="56">
        <v>-746.74174356275171</v>
      </c>
      <c r="AD56" s="56">
        <v>-197.78096712147487</v>
      </c>
      <c r="AE56" s="56">
        <v>-2010.9408782101741</v>
      </c>
      <c r="AF56" s="56">
        <v>-257.76662790208195</v>
      </c>
      <c r="AG56" s="56">
        <v>-154.83329717841286</v>
      </c>
      <c r="AH56" s="56">
        <v>-243.61886553164993</v>
      </c>
      <c r="AI56" s="56">
        <v>-284.0300515857657</v>
      </c>
      <c r="AJ56" s="56">
        <v>-263.36502967556788</v>
      </c>
      <c r="AK56" s="56">
        <v>-384.88164368377329</v>
      </c>
      <c r="AL56" s="56">
        <v>-227.96856564343517</v>
      </c>
      <c r="AM56" s="56">
        <v>-175.88410473299115</v>
      </c>
      <c r="AN56" s="56">
        <v>-64.761923098834302</v>
      </c>
      <c r="AO56" s="56">
        <v>-239.43327707117038</v>
      </c>
      <c r="AP56" s="56">
        <v>-158.20288416826145</v>
      </c>
      <c r="AQ56" s="56">
        <v>-255.72372907493019</v>
      </c>
      <c r="AR56" s="56">
        <v>-254.86304277051511</v>
      </c>
      <c r="AS56" s="56">
        <v>77.399999999999977</v>
      </c>
      <c r="AT56" s="56">
        <v>-213.73080125659334</v>
      </c>
      <c r="AU56" s="56">
        <v>-210.16204016900178</v>
      </c>
      <c r="AV56" s="56">
        <v>114.95715461497986</v>
      </c>
      <c r="AW56" s="56">
        <v>-249.30148380962879</v>
      </c>
      <c r="AX56" s="56">
        <v>-203.64724154103641</v>
      </c>
      <c r="AY56" s="72">
        <v>-258.54578798409267</v>
      </c>
      <c r="AZ56" s="72">
        <v>-221.22410585961455</v>
      </c>
      <c r="BA56" s="72">
        <v>-404.33102892220745</v>
      </c>
      <c r="BB56" s="72">
        <v>-302.87786163178271</v>
      </c>
      <c r="BC56" s="72">
        <v>-119.8473896288445</v>
      </c>
      <c r="BD56" s="72">
        <v>-5016.3577493132825</v>
      </c>
      <c r="BE56" s="72">
        <v>-1379.9111345042704</v>
      </c>
      <c r="BF56" s="24">
        <f t="shared" si="11"/>
        <v>-293.4977038083465</v>
      </c>
      <c r="BG56" s="73">
        <f t="shared" si="12"/>
        <v>-1100.4421511205849</v>
      </c>
    </row>
    <row r="57" spans="1:59" x14ac:dyDescent="0.25">
      <c r="M57" t="s">
        <v>149</v>
      </c>
      <c r="N57" s="66">
        <f>IFERROR(J14,"na")</f>
        <v>92466.666666666672</v>
      </c>
      <c r="O57" s="56">
        <v>119233.33333333334</v>
      </c>
      <c r="P57" s="56">
        <v>30416.666666666668</v>
      </c>
      <c r="Q57" s="56">
        <v>65917.910447761198</v>
      </c>
      <c r="R57" s="56">
        <v>46975.5</v>
      </c>
      <c r="S57" s="56">
        <v>61958.75</v>
      </c>
      <c r="T57" s="56">
        <v>60681.25</v>
      </c>
      <c r="U57" s="56">
        <v>43343.75</v>
      </c>
      <c r="V57" s="56">
        <v>16181.666666666668</v>
      </c>
      <c r="W57" s="56">
        <v>57232</v>
      </c>
      <c r="X57" s="56">
        <v>86724</v>
      </c>
      <c r="Y57" s="56">
        <v>103264.58333333334</v>
      </c>
      <c r="Z57" s="56">
        <v>20325.9375</v>
      </c>
      <c r="AA57" s="56">
        <v>162674.41666666666</v>
      </c>
      <c r="AB57" s="56">
        <v>81303.75</v>
      </c>
      <c r="AC57" s="56">
        <v>76157.906084776114</v>
      </c>
      <c r="AD57" s="56">
        <v>52036.833333333328</v>
      </c>
      <c r="AE57" s="56">
        <v>92466.666666666672</v>
      </c>
      <c r="AF57" s="56">
        <v>93206.399999999994</v>
      </c>
      <c r="AG57" s="56">
        <v>59616.666666666672</v>
      </c>
      <c r="AH57" s="56">
        <v>46720</v>
      </c>
      <c r="AI57" s="56">
        <v>102899.58333333334</v>
      </c>
      <c r="AJ57" s="56">
        <v>89425</v>
      </c>
      <c r="AK57" s="56">
        <v>25458.749999999996</v>
      </c>
      <c r="AL57" s="56">
        <v>37260.416666666672</v>
      </c>
      <c r="AM57" s="56">
        <v>132768.75</v>
      </c>
      <c r="AN57" s="56">
        <v>134137.5</v>
      </c>
      <c r="AO57" s="56">
        <v>120450</v>
      </c>
      <c r="AP57" s="56">
        <v>63729</v>
      </c>
      <c r="AQ57" s="56">
        <v>150313.84375</v>
      </c>
      <c r="AR57" s="56">
        <v>177359.58333333334</v>
      </c>
      <c r="AS57" s="56">
        <v>259015.67999999999</v>
      </c>
      <c r="AT57" s="56">
        <v>709676.79999999981</v>
      </c>
      <c r="AU57" s="56">
        <v>120450</v>
      </c>
      <c r="AV57" s="56">
        <v>162544.84166666665</v>
      </c>
      <c r="AW57" s="56">
        <v>164250</v>
      </c>
      <c r="AX57" s="56">
        <v>476933.33333333337</v>
      </c>
      <c r="AY57" s="72">
        <v>46975.5</v>
      </c>
      <c r="AZ57" s="72">
        <v>69350</v>
      </c>
      <c r="BA57" s="72">
        <v>107310</v>
      </c>
      <c r="BB57" s="72">
        <v>121058.33333333334</v>
      </c>
      <c r="BC57" s="72">
        <v>160965</v>
      </c>
      <c r="BD57" s="72">
        <v>312987.5</v>
      </c>
      <c r="BE57" s="72">
        <v>239539.76666666666</v>
      </c>
      <c r="BF57" s="24">
        <f t="shared" si="11"/>
        <v>119530.86304025567</v>
      </c>
      <c r="BG57" s="73">
        <f t="shared" si="12"/>
        <v>151169.44285714286</v>
      </c>
    </row>
    <row r="58" spans="1:59" x14ac:dyDescent="0.25">
      <c r="M58" t="s">
        <v>138</v>
      </c>
      <c r="N58" s="66">
        <f>J29</f>
        <v>67677.252677416516</v>
      </c>
      <c r="O58" s="56">
        <v>121356.78691641394</v>
      </c>
      <c r="P58" s="56">
        <v>13682.76723425966</v>
      </c>
      <c r="Q58" s="56">
        <v>41931.820625730827</v>
      </c>
      <c r="R58" s="56">
        <v>62105.177343301177</v>
      </c>
      <c r="S58" s="56">
        <v>61554.387692378863</v>
      </c>
      <c r="T58" s="56">
        <v>83603.123346751599</v>
      </c>
      <c r="U58" s="56">
        <v>59716.516676251144</v>
      </c>
      <c r="V58" s="56">
        <v>25623.788705395902</v>
      </c>
      <c r="W58" s="56">
        <v>57327.856009201103</v>
      </c>
      <c r="X58" s="56">
        <v>127166.20690102849</v>
      </c>
      <c r="Y58" s="56">
        <v>119433.03335250229</v>
      </c>
      <c r="Z58" s="56">
        <v>20289.354199836678</v>
      </c>
      <c r="AA58" s="56">
        <v>162967.79694279353</v>
      </c>
      <c r="AB58" s="56">
        <v>65391.241158379664</v>
      </c>
      <c r="AC58" s="56">
        <v>162567.68207006808</v>
      </c>
      <c r="AD58" s="56">
        <v>60387.206515834878</v>
      </c>
      <c r="AE58" s="56">
        <v>67677.252677416516</v>
      </c>
      <c r="AF58" s="56">
        <v>107489.73001725203</v>
      </c>
      <c r="AG58" s="56">
        <v>68178.635280675298</v>
      </c>
      <c r="AH58" s="56">
        <v>59716.516676251144</v>
      </c>
      <c r="AI58" s="56">
        <v>90507.982147145667</v>
      </c>
      <c r="AJ58" s="56">
        <v>114513.03691641391</v>
      </c>
      <c r="AK58" s="56">
        <v>34307.853239234311</v>
      </c>
      <c r="AL58" s="56">
        <v>50270.323076982386</v>
      </c>
      <c r="AM58" s="56">
        <v>143319.64002300272</v>
      </c>
      <c r="AN58" s="56">
        <v>84191.308493829463</v>
      </c>
      <c r="AO58" s="56">
        <v>99608.228013154483</v>
      </c>
      <c r="AP58" s="56">
        <v>64493.838010351217</v>
      </c>
      <c r="AQ58" s="56">
        <v>179149.55002875341</v>
      </c>
      <c r="AR58" s="56">
        <v>203036.15669925386</v>
      </c>
      <c r="AS58" s="56">
        <v>78840</v>
      </c>
      <c r="AT58" s="56">
        <v>836031.23346751591</v>
      </c>
      <c r="AU58" s="56">
        <v>97917.333333333343</v>
      </c>
      <c r="AV58" s="56">
        <v>34296.23341666667</v>
      </c>
      <c r="AW58" s="56">
        <v>238866.06670500457</v>
      </c>
      <c r="AX58" s="56">
        <v>477732.13341000915</v>
      </c>
      <c r="AY58" s="72">
        <v>61221.648099603692</v>
      </c>
      <c r="AZ58" s="72">
        <v>95546.426682001824</v>
      </c>
      <c r="BA58" s="72">
        <v>141412.97213012003</v>
      </c>
      <c r="BB58" s="72">
        <v>84960.161992011897</v>
      </c>
      <c r="BC58" s="72">
        <v>123445.52076579561</v>
      </c>
      <c r="BD58" s="72">
        <v>4703126.1895923093</v>
      </c>
      <c r="BE58" s="72">
        <v>1328930.4273305815</v>
      </c>
      <c r="BF58" s="24">
        <f t="shared" si="11"/>
        <v>121534.66103673264</v>
      </c>
      <c r="BG58" s="73">
        <f t="shared" si="12"/>
        <v>934091.90665606048</v>
      </c>
    </row>
    <row r="59" spans="1:59" x14ac:dyDescent="0.25">
      <c r="M59" t="s">
        <v>123</v>
      </c>
      <c r="N59" s="66">
        <f>J40</f>
        <v>445985.02768705919</v>
      </c>
      <c r="O59" s="24">
        <v>3607.2867719678693</v>
      </c>
      <c r="P59" s="24">
        <v>24013.567302632015</v>
      </c>
      <c r="Q59" s="24">
        <v>6527.7542461081966</v>
      </c>
      <c r="R59" s="24">
        <v>3396.6773665469627</v>
      </c>
      <c r="S59" s="24">
        <v>34723.690910151054</v>
      </c>
      <c r="T59" s="24">
        <v>34938.115504997222</v>
      </c>
      <c r="U59" s="24">
        <v>14415.836091237521</v>
      </c>
      <c r="V59" s="24">
        <v>1360.9120842428315</v>
      </c>
      <c r="W59" s="24">
        <v>24022.647037334231</v>
      </c>
      <c r="X59" s="24">
        <v>2598.2174324863927</v>
      </c>
      <c r="Y59" s="24">
        <v>6714.2417821960507</v>
      </c>
      <c r="Z59" s="24">
        <v>23981.076811142113</v>
      </c>
      <c r="AA59" s="24">
        <v>4532.6601237909836</v>
      </c>
      <c r="AB59" s="24">
        <v>4096.0029252649729</v>
      </c>
      <c r="AC59" s="24">
        <v>41571.359770174517</v>
      </c>
      <c r="AD59" s="24">
        <v>2528.4831172117342</v>
      </c>
      <c r="AE59" s="24">
        <v>445985.02768705919</v>
      </c>
      <c r="AF59" s="24">
        <v>13827.134370942875</v>
      </c>
      <c r="AG59" s="24">
        <v>2347.4670327384897</v>
      </c>
      <c r="AH59" s="24">
        <v>3188.0191233539572</v>
      </c>
      <c r="AI59" s="24">
        <v>9605.56685584353</v>
      </c>
      <c r="AJ59" s="24">
        <v>26427.159609904636</v>
      </c>
      <c r="AK59" s="24">
        <v>24261.686744138868</v>
      </c>
      <c r="AL59" s="24">
        <v>7212.3962812900481</v>
      </c>
      <c r="AM59" s="24">
        <v>3003.0582045390393</v>
      </c>
      <c r="AN59" s="24">
        <v>11548.776448732626</v>
      </c>
      <c r="AO59" s="24">
        <v>13403.869407496979</v>
      </c>
      <c r="AP59" s="24">
        <v>2553.4857142857145</v>
      </c>
      <c r="AQ59" s="24">
        <v>5961.90136168348</v>
      </c>
      <c r="AR59" s="24">
        <v>6311.7749999999996</v>
      </c>
      <c r="AS59" s="24">
        <v>0</v>
      </c>
      <c r="AT59" s="24">
        <v>13784.764207980656</v>
      </c>
      <c r="AU59" s="24">
        <v>1888.7631077904371</v>
      </c>
      <c r="AV59" s="24">
        <v>7338.527645426233</v>
      </c>
      <c r="AW59" s="24">
        <v>16209.002612519647</v>
      </c>
      <c r="AX59" s="24">
        <v>13372.010464918565</v>
      </c>
      <c r="AY59" s="73">
        <v>3396.6773665469627</v>
      </c>
      <c r="AZ59" s="73">
        <v>2084.7724105043935</v>
      </c>
      <c r="BA59" s="73">
        <v>24022.647037334231</v>
      </c>
      <c r="BB59" s="73">
        <v>37406.78433838857</v>
      </c>
      <c r="BC59" s="73">
        <v>11548.776448732626</v>
      </c>
      <c r="BD59" s="73">
        <v>11175.256656059179</v>
      </c>
      <c r="BE59" s="73">
        <v>5555.5555555555557</v>
      </c>
      <c r="BF59" s="24">
        <f t="shared" si="11"/>
        <v>23923.85892105916</v>
      </c>
      <c r="BG59" s="73">
        <f t="shared" si="12"/>
        <v>13598.638544731644</v>
      </c>
    </row>
    <row r="60" spans="1:59" x14ac:dyDescent="0.25">
      <c r="M60" t="s">
        <v>139</v>
      </c>
      <c r="N60" s="67">
        <f>N58+N59</f>
        <v>513662.28036447568</v>
      </c>
      <c r="O60" s="24">
        <v>124964.07368838182</v>
      </c>
      <c r="P60" s="24">
        <v>37696.334536891678</v>
      </c>
      <c r="Q60" s="24">
        <v>48459.574871839024</v>
      </c>
      <c r="R60" s="24">
        <v>65501.854709848136</v>
      </c>
      <c r="S60" s="24">
        <v>96278.078602529917</v>
      </c>
      <c r="T60" s="24">
        <v>118541.23885174881</v>
      </c>
      <c r="U60" s="24">
        <v>74132.352767488657</v>
      </c>
      <c r="V60" s="24">
        <v>26984.700789638733</v>
      </c>
      <c r="W60" s="24">
        <v>81350.503046535334</v>
      </c>
      <c r="X60" s="24">
        <v>129764.42433351488</v>
      </c>
      <c r="Y60" s="24">
        <v>126147.27513469834</v>
      </c>
      <c r="Z60" s="24">
        <v>44270.431010978791</v>
      </c>
      <c r="AA60" s="24">
        <v>167500.45706658452</v>
      </c>
      <c r="AB60" s="24">
        <v>69487.244083644633</v>
      </c>
      <c r="AC60" s="24">
        <v>204139.0418402426</v>
      </c>
      <c r="AD60" s="24">
        <v>62915.689633046612</v>
      </c>
      <c r="AE60" s="24">
        <v>513662.28036447568</v>
      </c>
      <c r="AF60" s="24">
        <v>121316.86438819491</v>
      </c>
      <c r="AG60" s="24">
        <v>70526.102313413794</v>
      </c>
      <c r="AH60" s="24">
        <v>62904.535799605103</v>
      </c>
      <c r="AI60" s="24">
        <v>100113.5490029892</v>
      </c>
      <c r="AJ60" s="24">
        <v>140940.19652631856</v>
      </c>
      <c r="AK60" s="24">
        <v>58569.539983373179</v>
      </c>
      <c r="AL60" s="24">
        <v>57482.719358272436</v>
      </c>
      <c r="AM60" s="24">
        <v>146322.69822754175</v>
      </c>
      <c r="AN60" s="24">
        <v>95740.084942562084</v>
      </c>
      <c r="AO60" s="24">
        <v>113012.09742065147</v>
      </c>
      <c r="AP60" s="24">
        <v>67047.323724636924</v>
      </c>
      <c r="AQ60" s="24">
        <v>185111.45139043688</v>
      </c>
      <c r="AR60" s="24">
        <v>209347.93169925385</v>
      </c>
      <c r="AS60" s="24">
        <v>78840</v>
      </c>
      <c r="AT60" s="24">
        <v>849815.99767549662</v>
      </c>
      <c r="AU60" s="24">
        <v>99806.09644112378</v>
      </c>
      <c r="AV60" s="24">
        <v>41634.761062092904</v>
      </c>
      <c r="AW60" s="24">
        <v>255075.06931752423</v>
      </c>
      <c r="AX60" s="24">
        <v>491104.14387492771</v>
      </c>
      <c r="AY60" s="73">
        <v>64618.325466150651</v>
      </c>
      <c r="AZ60" s="73">
        <v>97631.199092506213</v>
      </c>
      <c r="BA60" s="73">
        <v>165435.61916745425</v>
      </c>
      <c r="BB60" s="73">
        <v>122366.94633040047</v>
      </c>
      <c r="BC60" s="73">
        <v>134994.29721452823</v>
      </c>
      <c r="BD60" s="73">
        <v>4714301.4462483684</v>
      </c>
      <c r="BE60" s="73">
        <v>1334485.982886137</v>
      </c>
      <c r="BF60" s="24">
        <f t="shared" si="11"/>
        <v>145458.51995779175</v>
      </c>
      <c r="BG60" s="73">
        <f t="shared" si="12"/>
        <v>947690.54520079226</v>
      </c>
    </row>
    <row r="61" spans="1:59" x14ac:dyDescent="0.25">
      <c r="M61" t="s">
        <v>80</v>
      </c>
      <c r="N61" s="66">
        <f>IFERROR(IF(N50&gt;0,J44,"na"),"na")</f>
        <v>-494195.61369780899</v>
      </c>
      <c r="O61" s="24">
        <v>-66564.073688381817</v>
      </c>
      <c r="P61" s="24">
        <v>-22488.001203558342</v>
      </c>
      <c r="Q61" s="24">
        <v>-15999.997757411162</v>
      </c>
      <c r="R61" s="24">
        <v>-42251.354709848136</v>
      </c>
      <c r="S61" s="24">
        <v>-79944.328602529917</v>
      </c>
      <c r="T61" s="24">
        <v>-79151.655518415471</v>
      </c>
      <c r="U61" s="24">
        <v>-49038.602767488657</v>
      </c>
      <c r="V61" s="24">
        <v>-17190.534122972065</v>
      </c>
      <c r="W61" s="24">
        <v>-53318.503046535334</v>
      </c>
      <c r="X61" s="24">
        <v>-86840.424333514879</v>
      </c>
      <c r="Y61" s="24">
        <v>-47216.025134698342</v>
      </c>
      <c r="Z61" s="24">
        <v>-33069.493510978791</v>
      </c>
      <c r="AA61" s="24">
        <v>-82388.540399917867</v>
      </c>
      <c r="AB61" s="24">
        <v>-37458.494083644633</v>
      </c>
      <c r="AC61" s="24">
        <v>-165868.13575546647</v>
      </c>
      <c r="AD61" s="24">
        <v>-34603.856299713283</v>
      </c>
      <c r="AE61" s="24">
        <v>-494195.61369780899</v>
      </c>
      <c r="AF61" s="24">
        <v>-75469.214388194916</v>
      </c>
      <c r="AG61" s="24">
        <v>-38892.768980080458</v>
      </c>
      <c r="AH61" s="24">
        <v>-38997.035799605103</v>
      </c>
      <c r="AI61" s="24">
        <v>-59263.965669655852</v>
      </c>
      <c r="AJ61" s="24">
        <v>-81931.863192985227</v>
      </c>
      <c r="AK61" s="24">
        <v>-44060.789983373179</v>
      </c>
      <c r="AL61" s="24">
        <v>-35430.6360249391</v>
      </c>
      <c r="AM61" s="24">
        <v>-68303.948227541754</v>
      </c>
      <c r="AN61" s="24">
        <v>-22435.918275895427</v>
      </c>
      <c r="AO61" s="24">
        <v>-59478.764087318137</v>
      </c>
      <c r="AP61" s="24">
        <v>-27955.823724636924</v>
      </c>
      <c r="AQ61" s="24">
        <v>-126047.60764043688</v>
      </c>
      <c r="AR61" s="24">
        <v>-135405.01503258717</v>
      </c>
      <c r="AS61" s="24">
        <v>53885.679999999993</v>
      </c>
      <c r="AT61" s="24">
        <v>-508485.03100883012</v>
      </c>
      <c r="AU61" s="24">
        <v>-52356.09644112378</v>
      </c>
      <c r="AV61" s="24">
        <v>63118.413937907084</v>
      </c>
      <c r="AW61" s="24">
        <v>-151658.40265085758</v>
      </c>
      <c r="AX61" s="24">
        <v>-257504.14387492769</v>
      </c>
      <c r="AY61" s="73">
        <v>-41367.825466150651</v>
      </c>
      <c r="AZ61" s="73">
        <v>-57481.199092506213</v>
      </c>
      <c r="BA61" s="73">
        <v>-112875.61916745425</v>
      </c>
      <c r="BB61" s="73">
        <v>-74308.612997067132</v>
      </c>
      <c r="BC61" s="73">
        <v>-47029.297214528226</v>
      </c>
      <c r="BD61" s="73">
        <v>-4583813.9462483684</v>
      </c>
      <c r="BE61" s="73">
        <v>-1180112.8828861369</v>
      </c>
      <c r="BF61" s="24">
        <f t="shared" si="11"/>
        <v>-85396.126824943523</v>
      </c>
      <c r="BG61" s="73">
        <f t="shared" si="12"/>
        <v>-870998.4832960302</v>
      </c>
    </row>
    <row r="62" spans="1:59" x14ac:dyDescent="0.25">
      <c r="N62" s="68" t="s">
        <v>145</v>
      </c>
      <c r="O62" t="str">
        <v xml:space="preserve">   </v>
      </c>
      <c r="P62" t="str">
        <v xml:space="preserve">   </v>
      </c>
      <c r="Q62" t="str">
        <v xml:space="preserve">   </v>
      </c>
      <c r="R62" t="str">
        <v xml:space="preserve">   </v>
      </c>
      <c r="S62" t="str">
        <v xml:space="preserve">   </v>
      </c>
      <c r="T62" t="str">
        <v xml:space="preserve">   </v>
      </c>
      <c r="U62" t="str">
        <v xml:space="preserve">   </v>
      </c>
      <c r="V62" t="str">
        <v xml:space="preserve">   </v>
      </c>
      <c r="W62" t="str">
        <v xml:space="preserve">   </v>
      </c>
      <c r="X62" t="str">
        <v xml:space="preserve">   </v>
      </c>
      <c r="Y62" t="str">
        <v xml:space="preserve">   </v>
      </c>
      <c r="Z62" t="str">
        <v xml:space="preserve">   </v>
      </c>
      <c r="AA62" t="str">
        <v xml:space="preserve">   </v>
      </c>
      <c r="AB62" t="str">
        <v xml:space="preserve">   </v>
      </c>
      <c r="AC62" t="str">
        <v xml:space="preserve">   </v>
      </c>
      <c r="AD62" t="str">
        <v xml:space="preserve">   </v>
      </c>
      <c r="AE62" t="str">
        <v xml:space="preserve">   </v>
      </c>
      <c r="AF62" t="str">
        <v xml:space="preserve">   </v>
      </c>
      <c r="AG62" t="str">
        <v xml:space="preserve">   </v>
      </c>
      <c r="AH62" t="str">
        <v xml:space="preserve">   </v>
      </c>
      <c r="AI62" t="str">
        <v xml:space="preserve">   </v>
      </c>
      <c r="AJ62" t="str">
        <v xml:space="preserve">   </v>
      </c>
      <c r="AK62" t="str">
        <v xml:space="preserve">   </v>
      </c>
      <c r="AL62" t="str">
        <v xml:space="preserve">   </v>
      </c>
      <c r="AM62" t="str">
        <v xml:space="preserve">   </v>
      </c>
      <c r="AN62" t="str">
        <v xml:space="preserve">   </v>
      </c>
      <c r="AO62" t="str">
        <v xml:space="preserve">   </v>
      </c>
      <c r="AP62" t="str">
        <v xml:space="preserve">   </v>
      </c>
      <c r="AQ62" t="str">
        <v xml:space="preserve">   </v>
      </c>
      <c r="AR62" t="str">
        <v xml:space="preserve">   </v>
      </c>
      <c r="AS62" t="str">
        <v xml:space="preserve">   </v>
      </c>
      <c r="AT62" t="str">
        <v xml:space="preserve">   </v>
      </c>
      <c r="AU62" t="str">
        <v xml:space="preserve">   </v>
      </c>
      <c r="AV62" t="str">
        <v xml:space="preserve">   </v>
      </c>
      <c r="AW62" t="str">
        <v xml:space="preserve">   </v>
      </c>
      <c r="AX62" t="str">
        <v xml:space="preserve">   </v>
      </c>
      <c r="AY62" s="46" t="str">
        <v xml:space="preserve">   </v>
      </c>
      <c r="AZ62" s="46" t="str">
        <v xml:space="preserve">   </v>
      </c>
      <c r="BA62" s="46" t="str">
        <v xml:space="preserve">   </v>
      </c>
      <c r="BB62" s="46" t="str">
        <v xml:space="preserve">   </v>
      </c>
      <c r="BC62" s="46" t="str">
        <v xml:space="preserve">   </v>
      </c>
      <c r="BD62" s="46" t="str">
        <v xml:space="preserve">   </v>
      </c>
      <c r="BE62" s="46" t="str">
        <v xml:space="preserve">   </v>
      </c>
      <c r="BF62" s="24"/>
      <c r="BG62" s="73"/>
    </row>
    <row r="63" spans="1:59" x14ac:dyDescent="0.25">
      <c r="M63" t="s">
        <v>143</v>
      </c>
      <c r="N63" s="67">
        <f>G40</f>
        <v>558000</v>
      </c>
      <c r="O63" s="24">
        <v>23000</v>
      </c>
      <c r="P63" s="24">
        <v>30000</v>
      </c>
      <c r="Q63" s="24">
        <v>82000</v>
      </c>
      <c r="R63" s="24">
        <v>45000</v>
      </c>
      <c r="S63" s="24">
        <v>43445</v>
      </c>
      <c r="T63" s="24">
        <v>43650</v>
      </c>
      <c r="U63" s="24">
        <v>18000</v>
      </c>
      <c r="V63" s="24">
        <v>15672</v>
      </c>
      <c r="W63" s="24">
        <v>30000</v>
      </c>
      <c r="X63" s="24">
        <v>35000</v>
      </c>
      <c r="Y63" s="24">
        <v>77400</v>
      </c>
      <c r="Z63" s="24">
        <v>30000</v>
      </c>
      <c r="AA63" s="24">
        <v>35000</v>
      </c>
      <c r="AB63" s="24">
        <v>50000</v>
      </c>
      <c r="AC63" s="24">
        <v>52000</v>
      </c>
      <c r="AD63" s="24">
        <v>24143.529411764706</v>
      </c>
      <c r="AE63" s="24">
        <v>558000</v>
      </c>
      <c r="AF63" s="24">
        <v>17300</v>
      </c>
      <c r="AG63" s="24">
        <v>18000</v>
      </c>
      <c r="AH63" s="24">
        <v>32000</v>
      </c>
      <c r="AI63" s="24">
        <v>46800</v>
      </c>
      <c r="AJ63" s="24">
        <v>33000</v>
      </c>
      <c r="AK63" s="24">
        <v>30355</v>
      </c>
      <c r="AL63" s="24">
        <v>99000</v>
      </c>
      <c r="AM63" s="24">
        <v>32000</v>
      </c>
      <c r="AN63" s="24">
        <v>85000</v>
      </c>
      <c r="AO63" s="24">
        <v>184750</v>
      </c>
      <c r="AP63" s="24">
        <v>74763</v>
      </c>
      <c r="AQ63" s="24">
        <v>101500</v>
      </c>
      <c r="AR63" s="24">
        <v>172471</v>
      </c>
      <c r="AS63" s="24">
        <v>0</v>
      </c>
      <c r="AT63" s="24">
        <v>365000</v>
      </c>
      <c r="AU63" s="24">
        <v>21000</v>
      </c>
      <c r="AV63" s="24">
        <v>60000</v>
      </c>
      <c r="AW63" s="24">
        <v>202000</v>
      </c>
      <c r="AX63" s="24">
        <v>83000</v>
      </c>
      <c r="AY63" s="73">
        <v>45000</v>
      </c>
      <c r="AZ63" s="73">
        <v>18000</v>
      </c>
      <c r="BA63" s="73">
        <v>30000</v>
      </c>
      <c r="BB63" s="73">
        <v>46800</v>
      </c>
      <c r="BC63" s="73">
        <v>85000</v>
      </c>
      <c r="BD63" s="73">
        <v>172471</v>
      </c>
      <c r="BE63" s="73">
        <v>60000</v>
      </c>
      <c r="BF63" s="24">
        <f t="shared" si="11"/>
        <v>79173.598039215693</v>
      </c>
      <c r="BG63" s="73">
        <f t="shared" si="12"/>
        <v>65324.428571428572</v>
      </c>
    </row>
    <row r="64" spans="1:59" x14ac:dyDescent="0.25">
      <c r="M64" t="s">
        <v>144</v>
      </c>
      <c r="N64" s="69">
        <f>H7</f>
        <v>243.33333333333334</v>
      </c>
      <c r="O64" s="64">
        <v>304.16666666666669</v>
      </c>
      <c r="P64" s="64">
        <v>60.833333333333336</v>
      </c>
      <c r="Q64" s="64">
        <v>133.83333333333334</v>
      </c>
      <c r="R64" s="64">
        <v>158.16666666666666</v>
      </c>
      <c r="S64" s="64">
        <v>182.5</v>
      </c>
      <c r="T64" s="64">
        <v>212.91666666666666</v>
      </c>
      <c r="U64" s="64">
        <v>152.08333333333334</v>
      </c>
      <c r="V64" s="64">
        <v>42.583333333333336</v>
      </c>
      <c r="W64" s="64">
        <v>146</v>
      </c>
      <c r="X64" s="64">
        <v>292</v>
      </c>
      <c r="Y64" s="64">
        <v>304.16666666666669</v>
      </c>
      <c r="Z64" s="64">
        <v>91.25</v>
      </c>
      <c r="AA64" s="64">
        <v>517.08333333333337</v>
      </c>
      <c r="AB64" s="64">
        <v>164.25</v>
      </c>
      <c r="AC64" s="64">
        <v>219</v>
      </c>
      <c r="AD64" s="64">
        <v>158.16666666666666</v>
      </c>
      <c r="AE64" s="64">
        <v>243.33333333333334</v>
      </c>
      <c r="AF64" s="64">
        <v>273.75</v>
      </c>
      <c r="AG64" s="64">
        <v>243.33333333333334</v>
      </c>
      <c r="AH64" s="64">
        <v>152.08333333333334</v>
      </c>
      <c r="AI64" s="64">
        <v>206.83333333333334</v>
      </c>
      <c r="AJ64" s="64">
        <v>304.16666666666669</v>
      </c>
      <c r="AK64" s="64">
        <v>109.5</v>
      </c>
      <c r="AL64" s="64">
        <v>152.08333333333334</v>
      </c>
      <c r="AM64" s="64">
        <v>365</v>
      </c>
      <c r="AN64" s="64">
        <v>304.16666666666669</v>
      </c>
      <c r="AO64" s="64">
        <v>243.33333333333334</v>
      </c>
      <c r="AP64" s="64">
        <v>164.25</v>
      </c>
      <c r="AQ64" s="64">
        <v>456.25</v>
      </c>
      <c r="AR64" s="64">
        <v>517.08333333333337</v>
      </c>
      <c r="AS64" s="64">
        <v>730</v>
      </c>
      <c r="AT64" s="64">
        <v>2129.1666666666665</v>
      </c>
      <c r="AU64" s="64">
        <v>243.33333333333334</v>
      </c>
      <c r="AV64" s="64">
        <v>577.91666666666663</v>
      </c>
      <c r="AW64" s="64">
        <v>608.33333333333337</v>
      </c>
      <c r="AX64" s="64">
        <v>1216.6666666666667</v>
      </c>
      <c r="AY64" s="74">
        <v>158.16666666666666</v>
      </c>
      <c r="AZ64" s="74">
        <v>243.33333333333334</v>
      </c>
      <c r="BA64" s="74">
        <v>273.75</v>
      </c>
      <c r="BB64" s="74">
        <v>243.33333333333334</v>
      </c>
      <c r="BC64" s="74">
        <v>365</v>
      </c>
      <c r="BD64" s="74">
        <v>912.5</v>
      </c>
      <c r="BE64" s="74">
        <v>851.66666666666663</v>
      </c>
      <c r="BF64" s="64">
        <f t="shared" si="11"/>
        <v>343.87731481481484</v>
      </c>
      <c r="BG64" s="74">
        <f t="shared" si="12"/>
        <v>435.39285714285717</v>
      </c>
    </row>
  </sheetData>
  <mergeCells count="1">
    <mergeCell ref="B10:B11"/>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Data_as_is!$BC$72:$BC$113</xm:f>
          </x14:formula1>
          <xm:sqref>B12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5:AK65"/>
  <sheetViews>
    <sheetView workbookViewId="0">
      <selection activeCell="H15" sqref="H15"/>
    </sheetView>
  </sheetViews>
  <sheetFormatPr defaultRowHeight="15" x14ac:dyDescent="0.25"/>
  <cols>
    <col min="2" max="2" width="16.42578125" customWidth="1"/>
    <col min="3" max="5" width="10.5703125" bestFit="1" customWidth="1"/>
    <col min="6" max="6" width="11.5703125" bestFit="1" customWidth="1"/>
    <col min="7" max="7" width="10.5703125" bestFit="1" customWidth="1"/>
    <col min="8" max="8" width="11.7109375" customWidth="1"/>
    <col min="9" max="14" width="10.5703125" bestFit="1" customWidth="1"/>
    <col min="15" max="15" width="11.5703125" bestFit="1" customWidth="1"/>
    <col min="16" max="21" width="10.5703125" bestFit="1" customWidth="1"/>
    <col min="22" max="22" width="11.5703125" bestFit="1" customWidth="1"/>
    <col min="23" max="23" width="10.5703125" bestFit="1" customWidth="1"/>
    <col min="24" max="24" width="11.5703125" bestFit="1" customWidth="1"/>
    <col min="25" max="27" width="10.5703125" bestFit="1" customWidth="1"/>
    <col min="28" max="28" width="11.5703125" bestFit="1" customWidth="1"/>
    <col min="29" max="32" width="10.5703125" bestFit="1" customWidth="1"/>
    <col min="33" max="33" width="11.5703125" bestFit="1" customWidth="1"/>
    <col min="34" max="35" width="10.5703125" bestFit="1" customWidth="1"/>
    <col min="36" max="36" width="11.5703125" bestFit="1" customWidth="1"/>
    <col min="258" max="258" width="16.42578125" customWidth="1"/>
    <col min="259" max="261" width="10.5703125" bestFit="1" customWidth="1"/>
    <col min="262" max="262" width="11.5703125" bestFit="1" customWidth="1"/>
    <col min="263" max="270" width="10.5703125" bestFit="1" customWidth="1"/>
    <col min="271" max="271" width="11.5703125" bestFit="1" customWidth="1"/>
    <col min="272" max="277" width="10.5703125" bestFit="1" customWidth="1"/>
    <col min="278" max="278" width="11.5703125" bestFit="1" customWidth="1"/>
    <col min="279" max="279" width="10.5703125" bestFit="1" customWidth="1"/>
    <col min="280" max="280" width="11.5703125" bestFit="1" customWidth="1"/>
    <col min="281" max="283" width="10.5703125" bestFit="1" customWidth="1"/>
    <col min="284" max="284" width="11.5703125" bestFit="1" customWidth="1"/>
    <col min="285" max="288" width="10.5703125" bestFit="1" customWidth="1"/>
    <col min="289" max="289" width="11.5703125" bestFit="1" customWidth="1"/>
    <col min="290" max="291" width="10.5703125" bestFit="1" customWidth="1"/>
    <col min="292" max="292" width="11.5703125" bestFit="1" customWidth="1"/>
    <col min="514" max="514" width="16.42578125" customWidth="1"/>
    <col min="515" max="517" width="10.5703125" bestFit="1" customWidth="1"/>
    <col min="518" max="518" width="11.5703125" bestFit="1" customWidth="1"/>
    <col min="519" max="526" width="10.5703125" bestFit="1" customWidth="1"/>
    <col min="527" max="527" width="11.5703125" bestFit="1" customWidth="1"/>
    <col min="528" max="533" width="10.5703125" bestFit="1" customWidth="1"/>
    <col min="534" max="534" width="11.5703125" bestFit="1" customWidth="1"/>
    <col min="535" max="535" width="10.5703125" bestFit="1" customWidth="1"/>
    <col min="536" max="536" width="11.5703125" bestFit="1" customWidth="1"/>
    <col min="537" max="539" width="10.5703125" bestFit="1" customWidth="1"/>
    <col min="540" max="540" width="11.5703125" bestFit="1" customWidth="1"/>
    <col min="541" max="544" width="10.5703125" bestFit="1" customWidth="1"/>
    <col min="545" max="545" width="11.5703125" bestFit="1" customWidth="1"/>
    <col min="546" max="547" width="10.5703125" bestFit="1" customWidth="1"/>
    <col min="548" max="548" width="11.5703125" bestFit="1" customWidth="1"/>
    <col min="770" max="770" width="16.42578125" customWidth="1"/>
    <col min="771" max="773" width="10.5703125" bestFit="1" customWidth="1"/>
    <col min="774" max="774" width="11.5703125" bestFit="1" customWidth="1"/>
    <col min="775" max="782" width="10.5703125" bestFit="1" customWidth="1"/>
    <col min="783" max="783" width="11.5703125" bestFit="1" customWidth="1"/>
    <col min="784" max="789" width="10.5703125" bestFit="1" customWidth="1"/>
    <col min="790" max="790" width="11.5703125" bestFit="1" customWidth="1"/>
    <col min="791" max="791" width="10.5703125" bestFit="1" customWidth="1"/>
    <col min="792" max="792" width="11.5703125" bestFit="1" customWidth="1"/>
    <col min="793" max="795" width="10.5703125" bestFit="1" customWidth="1"/>
    <col min="796" max="796" width="11.5703125" bestFit="1" customWidth="1"/>
    <col min="797" max="800" width="10.5703125" bestFit="1" customWidth="1"/>
    <col min="801" max="801" width="11.5703125" bestFit="1" customWidth="1"/>
    <col min="802" max="803" width="10.5703125" bestFit="1" customWidth="1"/>
    <col min="804" max="804" width="11.5703125" bestFit="1" customWidth="1"/>
    <col min="1026" max="1026" width="16.42578125" customWidth="1"/>
    <col min="1027" max="1029" width="10.5703125" bestFit="1" customWidth="1"/>
    <col min="1030" max="1030" width="11.5703125" bestFit="1" customWidth="1"/>
    <col min="1031" max="1038" width="10.5703125" bestFit="1" customWidth="1"/>
    <col min="1039" max="1039" width="11.5703125" bestFit="1" customWidth="1"/>
    <col min="1040" max="1045" width="10.5703125" bestFit="1" customWidth="1"/>
    <col min="1046" max="1046" width="11.5703125" bestFit="1" customWidth="1"/>
    <col min="1047" max="1047" width="10.5703125" bestFit="1" customWidth="1"/>
    <col min="1048" max="1048" width="11.5703125" bestFit="1" customWidth="1"/>
    <col min="1049" max="1051" width="10.5703125" bestFit="1" customWidth="1"/>
    <col min="1052" max="1052" width="11.5703125" bestFit="1" customWidth="1"/>
    <col min="1053" max="1056" width="10.5703125" bestFit="1" customWidth="1"/>
    <col min="1057" max="1057" width="11.5703125" bestFit="1" customWidth="1"/>
    <col min="1058" max="1059" width="10.5703125" bestFit="1" customWidth="1"/>
    <col min="1060" max="1060" width="11.5703125" bestFit="1" customWidth="1"/>
    <col min="1282" max="1282" width="16.42578125" customWidth="1"/>
    <col min="1283" max="1285" width="10.5703125" bestFit="1" customWidth="1"/>
    <col min="1286" max="1286" width="11.5703125" bestFit="1" customWidth="1"/>
    <col min="1287" max="1294" width="10.5703125" bestFit="1" customWidth="1"/>
    <col min="1295" max="1295" width="11.5703125" bestFit="1" customWidth="1"/>
    <col min="1296" max="1301" width="10.5703125" bestFit="1" customWidth="1"/>
    <col min="1302" max="1302" width="11.5703125" bestFit="1" customWidth="1"/>
    <col min="1303" max="1303" width="10.5703125" bestFit="1" customWidth="1"/>
    <col min="1304" max="1304" width="11.5703125" bestFit="1" customWidth="1"/>
    <col min="1305" max="1307" width="10.5703125" bestFit="1" customWidth="1"/>
    <col min="1308" max="1308" width="11.5703125" bestFit="1" customWidth="1"/>
    <col min="1309" max="1312" width="10.5703125" bestFit="1" customWidth="1"/>
    <col min="1313" max="1313" width="11.5703125" bestFit="1" customWidth="1"/>
    <col min="1314" max="1315" width="10.5703125" bestFit="1" customWidth="1"/>
    <col min="1316" max="1316" width="11.5703125" bestFit="1" customWidth="1"/>
    <col min="1538" max="1538" width="16.42578125" customWidth="1"/>
    <col min="1539" max="1541" width="10.5703125" bestFit="1" customWidth="1"/>
    <col min="1542" max="1542" width="11.5703125" bestFit="1" customWidth="1"/>
    <col min="1543" max="1550" width="10.5703125" bestFit="1" customWidth="1"/>
    <col min="1551" max="1551" width="11.5703125" bestFit="1" customWidth="1"/>
    <col min="1552" max="1557" width="10.5703125" bestFit="1" customWidth="1"/>
    <col min="1558" max="1558" width="11.5703125" bestFit="1" customWidth="1"/>
    <col min="1559" max="1559" width="10.5703125" bestFit="1" customWidth="1"/>
    <col min="1560" max="1560" width="11.5703125" bestFit="1" customWidth="1"/>
    <col min="1561" max="1563" width="10.5703125" bestFit="1" customWidth="1"/>
    <col min="1564" max="1564" width="11.5703125" bestFit="1" customWidth="1"/>
    <col min="1565" max="1568" width="10.5703125" bestFit="1" customWidth="1"/>
    <col min="1569" max="1569" width="11.5703125" bestFit="1" customWidth="1"/>
    <col min="1570" max="1571" width="10.5703125" bestFit="1" customWidth="1"/>
    <col min="1572" max="1572" width="11.5703125" bestFit="1" customWidth="1"/>
    <col min="1794" max="1794" width="16.42578125" customWidth="1"/>
    <col min="1795" max="1797" width="10.5703125" bestFit="1" customWidth="1"/>
    <col min="1798" max="1798" width="11.5703125" bestFit="1" customWidth="1"/>
    <col min="1799" max="1806" width="10.5703125" bestFit="1" customWidth="1"/>
    <col min="1807" max="1807" width="11.5703125" bestFit="1" customWidth="1"/>
    <col min="1808" max="1813" width="10.5703125" bestFit="1" customWidth="1"/>
    <col min="1814" max="1814" width="11.5703125" bestFit="1" customWidth="1"/>
    <col min="1815" max="1815" width="10.5703125" bestFit="1" customWidth="1"/>
    <col min="1816" max="1816" width="11.5703125" bestFit="1" customWidth="1"/>
    <col min="1817" max="1819" width="10.5703125" bestFit="1" customWidth="1"/>
    <col min="1820" max="1820" width="11.5703125" bestFit="1" customWidth="1"/>
    <col min="1821" max="1824" width="10.5703125" bestFit="1" customWidth="1"/>
    <col min="1825" max="1825" width="11.5703125" bestFit="1" customWidth="1"/>
    <col min="1826" max="1827" width="10.5703125" bestFit="1" customWidth="1"/>
    <col min="1828" max="1828" width="11.5703125" bestFit="1" customWidth="1"/>
    <col min="2050" max="2050" width="16.42578125" customWidth="1"/>
    <col min="2051" max="2053" width="10.5703125" bestFit="1" customWidth="1"/>
    <col min="2054" max="2054" width="11.5703125" bestFit="1" customWidth="1"/>
    <col min="2055" max="2062" width="10.5703125" bestFit="1" customWidth="1"/>
    <col min="2063" max="2063" width="11.5703125" bestFit="1" customWidth="1"/>
    <col min="2064" max="2069" width="10.5703125" bestFit="1" customWidth="1"/>
    <col min="2070" max="2070" width="11.5703125" bestFit="1" customWidth="1"/>
    <col min="2071" max="2071" width="10.5703125" bestFit="1" customWidth="1"/>
    <col min="2072" max="2072" width="11.5703125" bestFit="1" customWidth="1"/>
    <col min="2073" max="2075" width="10.5703125" bestFit="1" customWidth="1"/>
    <col min="2076" max="2076" width="11.5703125" bestFit="1" customWidth="1"/>
    <col min="2077" max="2080" width="10.5703125" bestFit="1" customWidth="1"/>
    <col min="2081" max="2081" width="11.5703125" bestFit="1" customWidth="1"/>
    <col min="2082" max="2083" width="10.5703125" bestFit="1" customWidth="1"/>
    <col min="2084" max="2084" width="11.5703125" bestFit="1" customWidth="1"/>
    <col min="2306" max="2306" width="16.42578125" customWidth="1"/>
    <col min="2307" max="2309" width="10.5703125" bestFit="1" customWidth="1"/>
    <col min="2310" max="2310" width="11.5703125" bestFit="1" customWidth="1"/>
    <col min="2311" max="2318" width="10.5703125" bestFit="1" customWidth="1"/>
    <col min="2319" max="2319" width="11.5703125" bestFit="1" customWidth="1"/>
    <col min="2320" max="2325" width="10.5703125" bestFit="1" customWidth="1"/>
    <col min="2326" max="2326" width="11.5703125" bestFit="1" customWidth="1"/>
    <col min="2327" max="2327" width="10.5703125" bestFit="1" customWidth="1"/>
    <col min="2328" max="2328" width="11.5703125" bestFit="1" customWidth="1"/>
    <col min="2329" max="2331" width="10.5703125" bestFit="1" customWidth="1"/>
    <col min="2332" max="2332" width="11.5703125" bestFit="1" customWidth="1"/>
    <col min="2333" max="2336" width="10.5703125" bestFit="1" customWidth="1"/>
    <col min="2337" max="2337" width="11.5703125" bestFit="1" customWidth="1"/>
    <col min="2338" max="2339" width="10.5703125" bestFit="1" customWidth="1"/>
    <col min="2340" max="2340" width="11.5703125" bestFit="1" customWidth="1"/>
    <col min="2562" max="2562" width="16.42578125" customWidth="1"/>
    <col min="2563" max="2565" width="10.5703125" bestFit="1" customWidth="1"/>
    <col min="2566" max="2566" width="11.5703125" bestFit="1" customWidth="1"/>
    <col min="2567" max="2574" width="10.5703125" bestFit="1" customWidth="1"/>
    <col min="2575" max="2575" width="11.5703125" bestFit="1" customWidth="1"/>
    <col min="2576" max="2581" width="10.5703125" bestFit="1" customWidth="1"/>
    <col min="2582" max="2582" width="11.5703125" bestFit="1" customWidth="1"/>
    <col min="2583" max="2583" width="10.5703125" bestFit="1" customWidth="1"/>
    <col min="2584" max="2584" width="11.5703125" bestFit="1" customWidth="1"/>
    <col min="2585" max="2587" width="10.5703125" bestFit="1" customWidth="1"/>
    <col min="2588" max="2588" width="11.5703125" bestFit="1" customWidth="1"/>
    <col min="2589" max="2592" width="10.5703125" bestFit="1" customWidth="1"/>
    <col min="2593" max="2593" width="11.5703125" bestFit="1" customWidth="1"/>
    <col min="2594" max="2595" width="10.5703125" bestFit="1" customWidth="1"/>
    <col min="2596" max="2596" width="11.5703125" bestFit="1" customWidth="1"/>
    <col min="2818" max="2818" width="16.42578125" customWidth="1"/>
    <col min="2819" max="2821" width="10.5703125" bestFit="1" customWidth="1"/>
    <col min="2822" max="2822" width="11.5703125" bestFit="1" customWidth="1"/>
    <col min="2823" max="2830" width="10.5703125" bestFit="1" customWidth="1"/>
    <col min="2831" max="2831" width="11.5703125" bestFit="1" customWidth="1"/>
    <col min="2832" max="2837" width="10.5703125" bestFit="1" customWidth="1"/>
    <col min="2838" max="2838" width="11.5703125" bestFit="1" customWidth="1"/>
    <col min="2839" max="2839" width="10.5703125" bestFit="1" customWidth="1"/>
    <col min="2840" max="2840" width="11.5703125" bestFit="1" customWidth="1"/>
    <col min="2841" max="2843" width="10.5703125" bestFit="1" customWidth="1"/>
    <col min="2844" max="2844" width="11.5703125" bestFit="1" customWidth="1"/>
    <col min="2845" max="2848" width="10.5703125" bestFit="1" customWidth="1"/>
    <col min="2849" max="2849" width="11.5703125" bestFit="1" customWidth="1"/>
    <col min="2850" max="2851" width="10.5703125" bestFit="1" customWidth="1"/>
    <col min="2852" max="2852" width="11.5703125" bestFit="1" customWidth="1"/>
    <col min="3074" max="3074" width="16.42578125" customWidth="1"/>
    <col min="3075" max="3077" width="10.5703125" bestFit="1" customWidth="1"/>
    <col min="3078" max="3078" width="11.5703125" bestFit="1" customWidth="1"/>
    <col min="3079" max="3086" width="10.5703125" bestFit="1" customWidth="1"/>
    <col min="3087" max="3087" width="11.5703125" bestFit="1" customWidth="1"/>
    <col min="3088" max="3093" width="10.5703125" bestFit="1" customWidth="1"/>
    <col min="3094" max="3094" width="11.5703125" bestFit="1" customWidth="1"/>
    <col min="3095" max="3095" width="10.5703125" bestFit="1" customWidth="1"/>
    <col min="3096" max="3096" width="11.5703125" bestFit="1" customWidth="1"/>
    <col min="3097" max="3099" width="10.5703125" bestFit="1" customWidth="1"/>
    <col min="3100" max="3100" width="11.5703125" bestFit="1" customWidth="1"/>
    <col min="3101" max="3104" width="10.5703125" bestFit="1" customWidth="1"/>
    <col min="3105" max="3105" width="11.5703125" bestFit="1" customWidth="1"/>
    <col min="3106" max="3107" width="10.5703125" bestFit="1" customWidth="1"/>
    <col min="3108" max="3108" width="11.5703125" bestFit="1" customWidth="1"/>
    <col min="3330" max="3330" width="16.42578125" customWidth="1"/>
    <col min="3331" max="3333" width="10.5703125" bestFit="1" customWidth="1"/>
    <col min="3334" max="3334" width="11.5703125" bestFit="1" customWidth="1"/>
    <col min="3335" max="3342" width="10.5703125" bestFit="1" customWidth="1"/>
    <col min="3343" max="3343" width="11.5703125" bestFit="1" customWidth="1"/>
    <col min="3344" max="3349" width="10.5703125" bestFit="1" customWidth="1"/>
    <col min="3350" max="3350" width="11.5703125" bestFit="1" customWidth="1"/>
    <col min="3351" max="3351" width="10.5703125" bestFit="1" customWidth="1"/>
    <col min="3352" max="3352" width="11.5703125" bestFit="1" customWidth="1"/>
    <col min="3353" max="3355" width="10.5703125" bestFit="1" customWidth="1"/>
    <col min="3356" max="3356" width="11.5703125" bestFit="1" customWidth="1"/>
    <col min="3357" max="3360" width="10.5703125" bestFit="1" customWidth="1"/>
    <col min="3361" max="3361" width="11.5703125" bestFit="1" customWidth="1"/>
    <col min="3362" max="3363" width="10.5703125" bestFit="1" customWidth="1"/>
    <col min="3364" max="3364" width="11.5703125" bestFit="1" customWidth="1"/>
    <col min="3586" max="3586" width="16.42578125" customWidth="1"/>
    <col min="3587" max="3589" width="10.5703125" bestFit="1" customWidth="1"/>
    <col min="3590" max="3590" width="11.5703125" bestFit="1" customWidth="1"/>
    <col min="3591" max="3598" width="10.5703125" bestFit="1" customWidth="1"/>
    <col min="3599" max="3599" width="11.5703125" bestFit="1" customWidth="1"/>
    <col min="3600" max="3605" width="10.5703125" bestFit="1" customWidth="1"/>
    <col min="3606" max="3606" width="11.5703125" bestFit="1" customWidth="1"/>
    <col min="3607" max="3607" width="10.5703125" bestFit="1" customWidth="1"/>
    <col min="3608" max="3608" width="11.5703125" bestFit="1" customWidth="1"/>
    <col min="3609" max="3611" width="10.5703125" bestFit="1" customWidth="1"/>
    <col min="3612" max="3612" width="11.5703125" bestFit="1" customWidth="1"/>
    <col min="3613" max="3616" width="10.5703125" bestFit="1" customWidth="1"/>
    <col min="3617" max="3617" width="11.5703125" bestFit="1" customWidth="1"/>
    <col min="3618" max="3619" width="10.5703125" bestFit="1" customWidth="1"/>
    <col min="3620" max="3620" width="11.5703125" bestFit="1" customWidth="1"/>
    <col min="3842" max="3842" width="16.42578125" customWidth="1"/>
    <col min="3843" max="3845" width="10.5703125" bestFit="1" customWidth="1"/>
    <col min="3846" max="3846" width="11.5703125" bestFit="1" customWidth="1"/>
    <col min="3847" max="3854" width="10.5703125" bestFit="1" customWidth="1"/>
    <col min="3855" max="3855" width="11.5703125" bestFit="1" customWidth="1"/>
    <col min="3856" max="3861" width="10.5703125" bestFit="1" customWidth="1"/>
    <col min="3862" max="3862" width="11.5703125" bestFit="1" customWidth="1"/>
    <col min="3863" max="3863" width="10.5703125" bestFit="1" customWidth="1"/>
    <col min="3864" max="3864" width="11.5703125" bestFit="1" customWidth="1"/>
    <col min="3865" max="3867" width="10.5703125" bestFit="1" customWidth="1"/>
    <col min="3868" max="3868" width="11.5703125" bestFit="1" customWidth="1"/>
    <col min="3869" max="3872" width="10.5703125" bestFit="1" customWidth="1"/>
    <col min="3873" max="3873" width="11.5703125" bestFit="1" customWidth="1"/>
    <col min="3874" max="3875" width="10.5703125" bestFit="1" customWidth="1"/>
    <col min="3876" max="3876" width="11.5703125" bestFit="1" customWidth="1"/>
    <col min="4098" max="4098" width="16.42578125" customWidth="1"/>
    <col min="4099" max="4101" width="10.5703125" bestFit="1" customWidth="1"/>
    <col min="4102" max="4102" width="11.5703125" bestFit="1" customWidth="1"/>
    <col min="4103" max="4110" width="10.5703125" bestFit="1" customWidth="1"/>
    <col min="4111" max="4111" width="11.5703125" bestFit="1" customWidth="1"/>
    <col min="4112" max="4117" width="10.5703125" bestFit="1" customWidth="1"/>
    <col min="4118" max="4118" width="11.5703125" bestFit="1" customWidth="1"/>
    <col min="4119" max="4119" width="10.5703125" bestFit="1" customWidth="1"/>
    <col min="4120" max="4120" width="11.5703125" bestFit="1" customWidth="1"/>
    <col min="4121" max="4123" width="10.5703125" bestFit="1" customWidth="1"/>
    <col min="4124" max="4124" width="11.5703125" bestFit="1" customWidth="1"/>
    <col min="4125" max="4128" width="10.5703125" bestFit="1" customWidth="1"/>
    <col min="4129" max="4129" width="11.5703125" bestFit="1" customWidth="1"/>
    <col min="4130" max="4131" width="10.5703125" bestFit="1" customWidth="1"/>
    <col min="4132" max="4132" width="11.5703125" bestFit="1" customWidth="1"/>
    <col min="4354" max="4354" width="16.42578125" customWidth="1"/>
    <col min="4355" max="4357" width="10.5703125" bestFit="1" customWidth="1"/>
    <col min="4358" max="4358" width="11.5703125" bestFit="1" customWidth="1"/>
    <col min="4359" max="4366" width="10.5703125" bestFit="1" customWidth="1"/>
    <col min="4367" max="4367" width="11.5703125" bestFit="1" customWidth="1"/>
    <col min="4368" max="4373" width="10.5703125" bestFit="1" customWidth="1"/>
    <col min="4374" max="4374" width="11.5703125" bestFit="1" customWidth="1"/>
    <col min="4375" max="4375" width="10.5703125" bestFit="1" customWidth="1"/>
    <col min="4376" max="4376" width="11.5703125" bestFit="1" customWidth="1"/>
    <col min="4377" max="4379" width="10.5703125" bestFit="1" customWidth="1"/>
    <col min="4380" max="4380" width="11.5703125" bestFit="1" customWidth="1"/>
    <col min="4381" max="4384" width="10.5703125" bestFit="1" customWidth="1"/>
    <col min="4385" max="4385" width="11.5703125" bestFit="1" customWidth="1"/>
    <col min="4386" max="4387" width="10.5703125" bestFit="1" customWidth="1"/>
    <col min="4388" max="4388" width="11.5703125" bestFit="1" customWidth="1"/>
    <col min="4610" max="4610" width="16.42578125" customWidth="1"/>
    <col min="4611" max="4613" width="10.5703125" bestFit="1" customWidth="1"/>
    <col min="4614" max="4614" width="11.5703125" bestFit="1" customWidth="1"/>
    <col min="4615" max="4622" width="10.5703125" bestFit="1" customWidth="1"/>
    <col min="4623" max="4623" width="11.5703125" bestFit="1" customWidth="1"/>
    <col min="4624" max="4629" width="10.5703125" bestFit="1" customWidth="1"/>
    <col min="4630" max="4630" width="11.5703125" bestFit="1" customWidth="1"/>
    <col min="4631" max="4631" width="10.5703125" bestFit="1" customWidth="1"/>
    <col min="4632" max="4632" width="11.5703125" bestFit="1" customWidth="1"/>
    <col min="4633" max="4635" width="10.5703125" bestFit="1" customWidth="1"/>
    <col min="4636" max="4636" width="11.5703125" bestFit="1" customWidth="1"/>
    <col min="4637" max="4640" width="10.5703125" bestFit="1" customWidth="1"/>
    <col min="4641" max="4641" width="11.5703125" bestFit="1" customWidth="1"/>
    <col min="4642" max="4643" width="10.5703125" bestFit="1" customWidth="1"/>
    <col min="4644" max="4644" width="11.5703125" bestFit="1" customWidth="1"/>
    <col min="4866" max="4866" width="16.42578125" customWidth="1"/>
    <col min="4867" max="4869" width="10.5703125" bestFit="1" customWidth="1"/>
    <col min="4870" max="4870" width="11.5703125" bestFit="1" customWidth="1"/>
    <col min="4871" max="4878" width="10.5703125" bestFit="1" customWidth="1"/>
    <col min="4879" max="4879" width="11.5703125" bestFit="1" customWidth="1"/>
    <col min="4880" max="4885" width="10.5703125" bestFit="1" customWidth="1"/>
    <col min="4886" max="4886" width="11.5703125" bestFit="1" customWidth="1"/>
    <col min="4887" max="4887" width="10.5703125" bestFit="1" customWidth="1"/>
    <col min="4888" max="4888" width="11.5703125" bestFit="1" customWidth="1"/>
    <col min="4889" max="4891" width="10.5703125" bestFit="1" customWidth="1"/>
    <col min="4892" max="4892" width="11.5703125" bestFit="1" customWidth="1"/>
    <col min="4893" max="4896" width="10.5703125" bestFit="1" customWidth="1"/>
    <col min="4897" max="4897" width="11.5703125" bestFit="1" customWidth="1"/>
    <col min="4898" max="4899" width="10.5703125" bestFit="1" customWidth="1"/>
    <col min="4900" max="4900" width="11.5703125" bestFit="1" customWidth="1"/>
    <col min="5122" max="5122" width="16.42578125" customWidth="1"/>
    <col min="5123" max="5125" width="10.5703125" bestFit="1" customWidth="1"/>
    <col min="5126" max="5126" width="11.5703125" bestFit="1" customWidth="1"/>
    <col min="5127" max="5134" width="10.5703125" bestFit="1" customWidth="1"/>
    <col min="5135" max="5135" width="11.5703125" bestFit="1" customWidth="1"/>
    <col min="5136" max="5141" width="10.5703125" bestFit="1" customWidth="1"/>
    <col min="5142" max="5142" width="11.5703125" bestFit="1" customWidth="1"/>
    <col min="5143" max="5143" width="10.5703125" bestFit="1" customWidth="1"/>
    <col min="5144" max="5144" width="11.5703125" bestFit="1" customWidth="1"/>
    <col min="5145" max="5147" width="10.5703125" bestFit="1" customWidth="1"/>
    <col min="5148" max="5148" width="11.5703125" bestFit="1" customWidth="1"/>
    <col min="5149" max="5152" width="10.5703125" bestFit="1" customWidth="1"/>
    <col min="5153" max="5153" width="11.5703125" bestFit="1" customWidth="1"/>
    <col min="5154" max="5155" width="10.5703125" bestFit="1" customWidth="1"/>
    <col min="5156" max="5156" width="11.5703125" bestFit="1" customWidth="1"/>
    <col min="5378" max="5378" width="16.42578125" customWidth="1"/>
    <col min="5379" max="5381" width="10.5703125" bestFit="1" customWidth="1"/>
    <col min="5382" max="5382" width="11.5703125" bestFit="1" customWidth="1"/>
    <col min="5383" max="5390" width="10.5703125" bestFit="1" customWidth="1"/>
    <col min="5391" max="5391" width="11.5703125" bestFit="1" customWidth="1"/>
    <col min="5392" max="5397" width="10.5703125" bestFit="1" customWidth="1"/>
    <col min="5398" max="5398" width="11.5703125" bestFit="1" customWidth="1"/>
    <col min="5399" max="5399" width="10.5703125" bestFit="1" customWidth="1"/>
    <col min="5400" max="5400" width="11.5703125" bestFit="1" customWidth="1"/>
    <col min="5401" max="5403" width="10.5703125" bestFit="1" customWidth="1"/>
    <col min="5404" max="5404" width="11.5703125" bestFit="1" customWidth="1"/>
    <col min="5405" max="5408" width="10.5703125" bestFit="1" customWidth="1"/>
    <col min="5409" max="5409" width="11.5703125" bestFit="1" customWidth="1"/>
    <col min="5410" max="5411" width="10.5703125" bestFit="1" customWidth="1"/>
    <col min="5412" max="5412" width="11.5703125" bestFit="1" customWidth="1"/>
    <col min="5634" max="5634" width="16.42578125" customWidth="1"/>
    <col min="5635" max="5637" width="10.5703125" bestFit="1" customWidth="1"/>
    <col min="5638" max="5638" width="11.5703125" bestFit="1" customWidth="1"/>
    <col min="5639" max="5646" width="10.5703125" bestFit="1" customWidth="1"/>
    <col min="5647" max="5647" width="11.5703125" bestFit="1" customWidth="1"/>
    <col min="5648" max="5653" width="10.5703125" bestFit="1" customWidth="1"/>
    <col min="5654" max="5654" width="11.5703125" bestFit="1" customWidth="1"/>
    <col min="5655" max="5655" width="10.5703125" bestFit="1" customWidth="1"/>
    <col min="5656" max="5656" width="11.5703125" bestFit="1" customWidth="1"/>
    <col min="5657" max="5659" width="10.5703125" bestFit="1" customWidth="1"/>
    <col min="5660" max="5660" width="11.5703125" bestFit="1" customWidth="1"/>
    <col min="5661" max="5664" width="10.5703125" bestFit="1" customWidth="1"/>
    <col min="5665" max="5665" width="11.5703125" bestFit="1" customWidth="1"/>
    <col min="5666" max="5667" width="10.5703125" bestFit="1" customWidth="1"/>
    <col min="5668" max="5668" width="11.5703125" bestFit="1" customWidth="1"/>
    <col min="5890" max="5890" width="16.42578125" customWidth="1"/>
    <col min="5891" max="5893" width="10.5703125" bestFit="1" customWidth="1"/>
    <col min="5894" max="5894" width="11.5703125" bestFit="1" customWidth="1"/>
    <col min="5895" max="5902" width="10.5703125" bestFit="1" customWidth="1"/>
    <col min="5903" max="5903" width="11.5703125" bestFit="1" customWidth="1"/>
    <col min="5904" max="5909" width="10.5703125" bestFit="1" customWidth="1"/>
    <col min="5910" max="5910" width="11.5703125" bestFit="1" customWidth="1"/>
    <col min="5911" max="5911" width="10.5703125" bestFit="1" customWidth="1"/>
    <col min="5912" max="5912" width="11.5703125" bestFit="1" customWidth="1"/>
    <col min="5913" max="5915" width="10.5703125" bestFit="1" customWidth="1"/>
    <col min="5916" max="5916" width="11.5703125" bestFit="1" customWidth="1"/>
    <col min="5917" max="5920" width="10.5703125" bestFit="1" customWidth="1"/>
    <col min="5921" max="5921" width="11.5703125" bestFit="1" customWidth="1"/>
    <col min="5922" max="5923" width="10.5703125" bestFit="1" customWidth="1"/>
    <col min="5924" max="5924" width="11.5703125" bestFit="1" customWidth="1"/>
    <col min="6146" max="6146" width="16.42578125" customWidth="1"/>
    <col min="6147" max="6149" width="10.5703125" bestFit="1" customWidth="1"/>
    <col min="6150" max="6150" width="11.5703125" bestFit="1" customWidth="1"/>
    <col min="6151" max="6158" width="10.5703125" bestFit="1" customWidth="1"/>
    <col min="6159" max="6159" width="11.5703125" bestFit="1" customWidth="1"/>
    <col min="6160" max="6165" width="10.5703125" bestFit="1" customWidth="1"/>
    <col min="6166" max="6166" width="11.5703125" bestFit="1" customWidth="1"/>
    <col min="6167" max="6167" width="10.5703125" bestFit="1" customWidth="1"/>
    <col min="6168" max="6168" width="11.5703125" bestFit="1" customWidth="1"/>
    <col min="6169" max="6171" width="10.5703125" bestFit="1" customWidth="1"/>
    <col min="6172" max="6172" width="11.5703125" bestFit="1" customWidth="1"/>
    <col min="6173" max="6176" width="10.5703125" bestFit="1" customWidth="1"/>
    <col min="6177" max="6177" width="11.5703125" bestFit="1" customWidth="1"/>
    <col min="6178" max="6179" width="10.5703125" bestFit="1" customWidth="1"/>
    <col min="6180" max="6180" width="11.5703125" bestFit="1" customWidth="1"/>
    <col min="6402" max="6402" width="16.42578125" customWidth="1"/>
    <col min="6403" max="6405" width="10.5703125" bestFit="1" customWidth="1"/>
    <col min="6406" max="6406" width="11.5703125" bestFit="1" customWidth="1"/>
    <col min="6407" max="6414" width="10.5703125" bestFit="1" customWidth="1"/>
    <col min="6415" max="6415" width="11.5703125" bestFit="1" customWidth="1"/>
    <col min="6416" max="6421" width="10.5703125" bestFit="1" customWidth="1"/>
    <col min="6422" max="6422" width="11.5703125" bestFit="1" customWidth="1"/>
    <col min="6423" max="6423" width="10.5703125" bestFit="1" customWidth="1"/>
    <col min="6424" max="6424" width="11.5703125" bestFit="1" customWidth="1"/>
    <col min="6425" max="6427" width="10.5703125" bestFit="1" customWidth="1"/>
    <col min="6428" max="6428" width="11.5703125" bestFit="1" customWidth="1"/>
    <col min="6429" max="6432" width="10.5703125" bestFit="1" customWidth="1"/>
    <col min="6433" max="6433" width="11.5703125" bestFit="1" customWidth="1"/>
    <col min="6434" max="6435" width="10.5703125" bestFit="1" customWidth="1"/>
    <col min="6436" max="6436" width="11.5703125" bestFit="1" customWidth="1"/>
    <col min="6658" max="6658" width="16.42578125" customWidth="1"/>
    <col min="6659" max="6661" width="10.5703125" bestFit="1" customWidth="1"/>
    <col min="6662" max="6662" width="11.5703125" bestFit="1" customWidth="1"/>
    <col min="6663" max="6670" width="10.5703125" bestFit="1" customWidth="1"/>
    <col min="6671" max="6671" width="11.5703125" bestFit="1" customWidth="1"/>
    <col min="6672" max="6677" width="10.5703125" bestFit="1" customWidth="1"/>
    <col min="6678" max="6678" width="11.5703125" bestFit="1" customWidth="1"/>
    <col min="6679" max="6679" width="10.5703125" bestFit="1" customWidth="1"/>
    <col min="6680" max="6680" width="11.5703125" bestFit="1" customWidth="1"/>
    <col min="6681" max="6683" width="10.5703125" bestFit="1" customWidth="1"/>
    <col min="6684" max="6684" width="11.5703125" bestFit="1" customWidth="1"/>
    <col min="6685" max="6688" width="10.5703125" bestFit="1" customWidth="1"/>
    <col min="6689" max="6689" width="11.5703125" bestFit="1" customWidth="1"/>
    <col min="6690" max="6691" width="10.5703125" bestFit="1" customWidth="1"/>
    <col min="6692" max="6692" width="11.5703125" bestFit="1" customWidth="1"/>
    <col min="6914" max="6914" width="16.42578125" customWidth="1"/>
    <col min="6915" max="6917" width="10.5703125" bestFit="1" customWidth="1"/>
    <col min="6918" max="6918" width="11.5703125" bestFit="1" customWidth="1"/>
    <col min="6919" max="6926" width="10.5703125" bestFit="1" customWidth="1"/>
    <col min="6927" max="6927" width="11.5703125" bestFit="1" customWidth="1"/>
    <col min="6928" max="6933" width="10.5703125" bestFit="1" customWidth="1"/>
    <col min="6934" max="6934" width="11.5703125" bestFit="1" customWidth="1"/>
    <col min="6935" max="6935" width="10.5703125" bestFit="1" customWidth="1"/>
    <col min="6936" max="6936" width="11.5703125" bestFit="1" customWidth="1"/>
    <col min="6937" max="6939" width="10.5703125" bestFit="1" customWidth="1"/>
    <col min="6940" max="6940" width="11.5703125" bestFit="1" customWidth="1"/>
    <col min="6941" max="6944" width="10.5703125" bestFit="1" customWidth="1"/>
    <col min="6945" max="6945" width="11.5703125" bestFit="1" customWidth="1"/>
    <col min="6946" max="6947" width="10.5703125" bestFit="1" customWidth="1"/>
    <col min="6948" max="6948" width="11.5703125" bestFit="1" customWidth="1"/>
    <col min="7170" max="7170" width="16.42578125" customWidth="1"/>
    <col min="7171" max="7173" width="10.5703125" bestFit="1" customWidth="1"/>
    <col min="7174" max="7174" width="11.5703125" bestFit="1" customWidth="1"/>
    <col min="7175" max="7182" width="10.5703125" bestFit="1" customWidth="1"/>
    <col min="7183" max="7183" width="11.5703125" bestFit="1" customWidth="1"/>
    <col min="7184" max="7189" width="10.5703125" bestFit="1" customWidth="1"/>
    <col min="7190" max="7190" width="11.5703125" bestFit="1" customWidth="1"/>
    <col min="7191" max="7191" width="10.5703125" bestFit="1" customWidth="1"/>
    <col min="7192" max="7192" width="11.5703125" bestFit="1" customWidth="1"/>
    <col min="7193" max="7195" width="10.5703125" bestFit="1" customWidth="1"/>
    <col min="7196" max="7196" width="11.5703125" bestFit="1" customWidth="1"/>
    <col min="7197" max="7200" width="10.5703125" bestFit="1" customWidth="1"/>
    <col min="7201" max="7201" width="11.5703125" bestFit="1" customWidth="1"/>
    <col min="7202" max="7203" width="10.5703125" bestFit="1" customWidth="1"/>
    <col min="7204" max="7204" width="11.5703125" bestFit="1" customWidth="1"/>
    <col min="7426" max="7426" width="16.42578125" customWidth="1"/>
    <col min="7427" max="7429" width="10.5703125" bestFit="1" customWidth="1"/>
    <col min="7430" max="7430" width="11.5703125" bestFit="1" customWidth="1"/>
    <col min="7431" max="7438" width="10.5703125" bestFit="1" customWidth="1"/>
    <col min="7439" max="7439" width="11.5703125" bestFit="1" customWidth="1"/>
    <col min="7440" max="7445" width="10.5703125" bestFit="1" customWidth="1"/>
    <col min="7446" max="7446" width="11.5703125" bestFit="1" customWidth="1"/>
    <col min="7447" max="7447" width="10.5703125" bestFit="1" customWidth="1"/>
    <col min="7448" max="7448" width="11.5703125" bestFit="1" customWidth="1"/>
    <col min="7449" max="7451" width="10.5703125" bestFit="1" customWidth="1"/>
    <col min="7452" max="7452" width="11.5703125" bestFit="1" customWidth="1"/>
    <col min="7453" max="7456" width="10.5703125" bestFit="1" customWidth="1"/>
    <col min="7457" max="7457" width="11.5703125" bestFit="1" customWidth="1"/>
    <col min="7458" max="7459" width="10.5703125" bestFit="1" customWidth="1"/>
    <col min="7460" max="7460" width="11.5703125" bestFit="1" customWidth="1"/>
    <col min="7682" max="7682" width="16.42578125" customWidth="1"/>
    <col min="7683" max="7685" width="10.5703125" bestFit="1" customWidth="1"/>
    <col min="7686" max="7686" width="11.5703125" bestFit="1" customWidth="1"/>
    <col min="7687" max="7694" width="10.5703125" bestFit="1" customWidth="1"/>
    <col min="7695" max="7695" width="11.5703125" bestFit="1" customWidth="1"/>
    <col min="7696" max="7701" width="10.5703125" bestFit="1" customWidth="1"/>
    <col min="7702" max="7702" width="11.5703125" bestFit="1" customWidth="1"/>
    <col min="7703" max="7703" width="10.5703125" bestFit="1" customWidth="1"/>
    <col min="7704" max="7704" width="11.5703125" bestFit="1" customWidth="1"/>
    <col min="7705" max="7707" width="10.5703125" bestFit="1" customWidth="1"/>
    <col min="7708" max="7708" width="11.5703125" bestFit="1" customWidth="1"/>
    <col min="7709" max="7712" width="10.5703125" bestFit="1" customWidth="1"/>
    <col min="7713" max="7713" width="11.5703125" bestFit="1" customWidth="1"/>
    <col min="7714" max="7715" width="10.5703125" bestFit="1" customWidth="1"/>
    <col min="7716" max="7716" width="11.5703125" bestFit="1" customWidth="1"/>
    <col min="7938" max="7938" width="16.42578125" customWidth="1"/>
    <col min="7939" max="7941" width="10.5703125" bestFit="1" customWidth="1"/>
    <col min="7942" max="7942" width="11.5703125" bestFit="1" customWidth="1"/>
    <col min="7943" max="7950" width="10.5703125" bestFit="1" customWidth="1"/>
    <col min="7951" max="7951" width="11.5703125" bestFit="1" customWidth="1"/>
    <col min="7952" max="7957" width="10.5703125" bestFit="1" customWidth="1"/>
    <col min="7958" max="7958" width="11.5703125" bestFit="1" customWidth="1"/>
    <col min="7959" max="7959" width="10.5703125" bestFit="1" customWidth="1"/>
    <col min="7960" max="7960" width="11.5703125" bestFit="1" customWidth="1"/>
    <col min="7961" max="7963" width="10.5703125" bestFit="1" customWidth="1"/>
    <col min="7964" max="7964" width="11.5703125" bestFit="1" customWidth="1"/>
    <col min="7965" max="7968" width="10.5703125" bestFit="1" customWidth="1"/>
    <col min="7969" max="7969" width="11.5703125" bestFit="1" customWidth="1"/>
    <col min="7970" max="7971" width="10.5703125" bestFit="1" customWidth="1"/>
    <col min="7972" max="7972" width="11.5703125" bestFit="1" customWidth="1"/>
    <col min="8194" max="8194" width="16.42578125" customWidth="1"/>
    <col min="8195" max="8197" width="10.5703125" bestFit="1" customWidth="1"/>
    <col min="8198" max="8198" width="11.5703125" bestFit="1" customWidth="1"/>
    <col min="8199" max="8206" width="10.5703125" bestFit="1" customWidth="1"/>
    <col min="8207" max="8207" width="11.5703125" bestFit="1" customWidth="1"/>
    <col min="8208" max="8213" width="10.5703125" bestFit="1" customWidth="1"/>
    <col min="8214" max="8214" width="11.5703125" bestFit="1" customWidth="1"/>
    <col min="8215" max="8215" width="10.5703125" bestFit="1" customWidth="1"/>
    <col min="8216" max="8216" width="11.5703125" bestFit="1" customWidth="1"/>
    <col min="8217" max="8219" width="10.5703125" bestFit="1" customWidth="1"/>
    <col min="8220" max="8220" width="11.5703125" bestFit="1" customWidth="1"/>
    <col min="8221" max="8224" width="10.5703125" bestFit="1" customWidth="1"/>
    <col min="8225" max="8225" width="11.5703125" bestFit="1" customWidth="1"/>
    <col min="8226" max="8227" width="10.5703125" bestFit="1" customWidth="1"/>
    <col min="8228" max="8228" width="11.5703125" bestFit="1" customWidth="1"/>
    <col min="8450" max="8450" width="16.42578125" customWidth="1"/>
    <col min="8451" max="8453" width="10.5703125" bestFit="1" customWidth="1"/>
    <col min="8454" max="8454" width="11.5703125" bestFit="1" customWidth="1"/>
    <col min="8455" max="8462" width="10.5703125" bestFit="1" customWidth="1"/>
    <col min="8463" max="8463" width="11.5703125" bestFit="1" customWidth="1"/>
    <col min="8464" max="8469" width="10.5703125" bestFit="1" customWidth="1"/>
    <col min="8470" max="8470" width="11.5703125" bestFit="1" customWidth="1"/>
    <col min="8471" max="8471" width="10.5703125" bestFit="1" customWidth="1"/>
    <col min="8472" max="8472" width="11.5703125" bestFit="1" customWidth="1"/>
    <col min="8473" max="8475" width="10.5703125" bestFit="1" customWidth="1"/>
    <col min="8476" max="8476" width="11.5703125" bestFit="1" customWidth="1"/>
    <col min="8477" max="8480" width="10.5703125" bestFit="1" customWidth="1"/>
    <col min="8481" max="8481" width="11.5703125" bestFit="1" customWidth="1"/>
    <col min="8482" max="8483" width="10.5703125" bestFit="1" customWidth="1"/>
    <col min="8484" max="8484" width="11.5703125" bestFit="1" customWidth="1"/>
    <col min="8706" max="8706" width="16.42578125" customWidth="1"/>
    <col min="8707" max="8709" width="10.5703125" bestFit="1" customWidth="1"/>
    <col min="8710" max="8710" width="11.5703125" bestFit="1" customWidth="1"/>
    <col min="8711" max="8718" width="10.5703125" bestFit="1" customWidth="1"/>
    <col min="8719" max="8719" width="11.5703125" bestFit="1" customWidth="1"/>
    <col min="8720" max="8725" width="10.5703125" bestFit="1" customWidth="1"/>
    <col min="8726" max="8726" width="11.5703125" bestFit="1" customWidth="1"/>
    <col min="8727" max="8727" width="10.5703125" bestFit="1" customWidth="1"/>
    <col min="8728" max="8728" width="11.5703125" bestFit="1" customWidth="1"/>
    <col min="8729" max="8731" width="10.5703125" bestFit="1" customWidth="1"/>
    <col min="8732" max="8732" width="11.5703125" bestFit="1" customWidth="1"/>
    <col min="8733" max="8736" width="10.5703125" bestFit="1" customWidth="1"/>
    <col min="8737" max="8737" width="11.5703125" bestFit="1" customWidth="1"/>
    <col min="8738" max="8739" width="10.5703125" bestFit="1" customWidth="1"/>
    <col min="8740" max="8740" width="11.5703125" bestFit="1" customWidth="1"/>
    <col min="8962" max="8962" width="16.42578125" customWidth="1"/>
    <col min="8963" max="8965" width="10.5703125" bestFit="1" customWidth="1"/>
    <col min="8966" max="8966" width="11.5703125" bestFit="1" customWidth="1"/>
    <col min="8967" max="8974" width="10.5703125" bestFit="1" customWidth="1"/>
    <col min="8975" max="8975" width="11.5703125" bestFit="1" customWidth="1"/>
    <col min="8976" max="8981" width="10.5703125" bestFit="1" customWidth="1"/>
    <col min="8982" max="8982" width="11.5703125" bestFit="1" customWidth="1"/>
    <col min="8983" max="8983" width="10.5703125" bestFit="1" customWidth="1"/>
    <col min="8984" max="8984" width="11.5703125" bestFit="1" customWidth="1"/>
    <col min="8985" max="8987" width="10.5703125" bestFit="1" customWidth="1"/>
    <col min="8988" max="8988" width="11.5703125" bestFit="1" customWidth="1"/>
    <col min="8989" max="8992" width="10.5703125" bestFit="1" customWidth="1"/>
    <col min="8993" max="8993" width="11.5703125" bestFit="1" customWidth="1"/>
    <col min="8994" max="8995" width="10.5703125" bestFit="1" customWidth="1"/>
    <col min="8996" max="8996" width="11.5703125" bestFit="1" customWidth="1"/>
    <col min="9218" max="9218" width="16.42578125" customWidth="1"/>
    <col min="9219" max="9221" width="10.5703125" bestFit="1" customWidth="1"/>
    <col min="9222" max="9222" width="11.5703125" bestFit="1" customWidth="1"/>
    <col min="9223" max="9230" width="10.5703125" bestFit="1" customWidth="1"/>
    <col min="9231" max="9231" width="11.5703125" bestFit="1" customWidth="1"/>
    <col min="9232" max="9237" width="10.5703125" bestFit="1" customWidth="1"/>
    <col min="9238" max="9238" width="11.5703125" bestFit="1" customWidth="1"/>
    <col min="9239" max="9239" width="10.5703125" bestFit="1" customWidth="1"/>
    <col min="9240" max="9240" width="11.5703125" bestFit="1" customWidth="1"/>
    <col min="9241" max="9243" width="10.5703125" bestFit="1" customWidth="1"/>
    <col min="9244" max="9244" width="11.5703125" bestFit="1" customWidth="1"/>
    <col min="9245" max="9248" width="10.5703125" bestFit="1" customWidth="1"/>
    <col min="9249" max="9249" width="11.5703125" bestFit="1" customWidth="1"/>
    <col min="9250" max="9251" width="10.5703125" bestFit="1" customWidth="1"/>
    <col min="9252" max="9252" width="11.5703125" bestFit="1" customWidth="1"/>
    <col min="9474" max="9474" width="16.42578125" customWidth="1"/>
    <col min="9475" max="9477" width="10.5703125" bestFit="1" customWidth="1"/>
    <col min="9478" max="9478" width="11.5703125" bestFit="1" customWidth="1"/>
    <col min="9479" max="9486" width="10.5703125" bestFit="1" customWidth="1"/>
    <col min="9487" max="9487" width="11.5703125" bestFit="1" customWidth="1"/>
    <col min="9488" max="9493" width="10.5703125" bestFit="1" customWidth="1"/>
    <col min="9494" max="9494" width="11.5703125" bestFit="1" customWidth="1"/>
    <col min="9495" max="9495" width="10.5703125" bestFit="1" customWidth="1"/>
    <col min="9496" max="9496" width="11.5703125" bestFit="1" customWidth="1"/>
    <col min="9497" max="9499" width="10.5703125" bestFit="1" customWidth="1"/>
    <col min="9500" max="9500" width="11.5703125" bestFit="1" customWidth="1"/>
    <col min="9501" max="9504" width="10.5703125" bestFit="1" customWidth="1"/>
    <col min="9505" max="9505" width="11.5703125" bestFit="1" customWidth="1"/>
    <col min="9506" max="9507" width="10.5703125" bestFit="1" customWidth="1"/>
    <col min="9508" max="9508" width="11.5703125" bestFit="1" customWidth="1"/>
    <col min="9730" max="9730" width="16.42578125" customWidth="1"/>
    <col min="9731" max="9733" width="10.5703125" bestFit="1" customWidth="1"/>
    <col min="9734" max="9734" width="11.5703125" bestFit="1" customWidth="1"/>
    <col min="9735" max="9742" width="10.5703125" bestFit="1" customWidth="1"/>
    <col min="9743" max="9743" width="11.5703125" bestFit="1" customWidth="1"/>
    <col min="9744" max="9749" width="10.5703125" bestFit="1" customWidth="1"/>
    <col min="9750" max="9750" width="11.5703125" bestFit="1" customWidth="1"/>
    <col min="9751" max="9751" width="10.5703125" bestFit="1" customWidth="1"/>
    <col min="9752" max="9752" width="11.5703125" bestFit="1" customWidth="1"/>
    <col min="9753" max="9755" width="10.5703125" bestFit="1" customWidth="1"/>
    <col min="9756" max="9756" width="11.5703125" bestFit="1" customWidth="1"/>
    <col min="9757" max="9760" width="10.5703125" bestFit="1" customWidth="1"/>
    <col min="9761" max="9761" width="11.5703125" bestFit="1" customWidth="1"/>
    <col min="9762" max="9763" width="10.5703125" bestFit="1" customWidth="1"/>
    <col min="9764" max="9764" width="11.5703125" bestFit="1" customWidth="1"/>
    <col min="9986" max="9986" width="16.42578125" customWidth="1"/>
    <col min="9987" max="9989" width="10.5703125" bestFit="1" customWidth="1"/>
    <col min="9990" max="9990" width="11.5703125" bestFit="1" customWidth="1"/>
    <col min="9991" max="9998" width="10.5703125" bestFit="1" customWidth="1"/>
    <col min="9999" max="9999" width="11.5703125" bestFit="1" customWidth="1"/>
    <col min="10000" max="10005" width="10.5703125" bestFit="1" customWidth="1"/>
    <col min="10006" max="10006" width="11.5703125" bestFit="1" customWidth="1"/>
    <col min="10007" max="10007" width="10.5703125" bestFit="1" customWidth="1"/>
    <col min="10008" max="10008" width="11.5703125" bestFit="1" customWidth="1"/>
    <col min="10009" max="10011" width="10.5703125" bestFit="1" customWidth="1"/>
    <col min="10012" max="10012" width="11.5703125" bestFit="1" customWidth="1"/>
    <col min="10013" max="10016" width="10.5703125" bestFit="1" customWidth="1"/>
    <col min="10017" max="10017" width="11.5703125" bestFit="1" customWidth="1"/>
    <col min="10018" max="10019" width="10.5703125" bestFit="1" customWidth="1"/>
    <col min="10020" max="10020" width="11.5703125" bestFit="1" customWidth="1"/>
    <col min="10242" max="10242" width="16.42578125" customWidth="1"/>
    <col min="10243" max="10245" width="10.5703125" bestFit="1" customWidth="1"/>
    <col min="10246" max="10246" width="11.5703125" bestFit="1" customWidth="1"/>
    <col min="10247" max="10254" width="10.5703125" bestFit="1" customWidth="1"/>
    <col min="10255" max="10255" width="11.5703125" bestFit="1" customWidth="1"/>
    <col min="10256" max="10261" width="10.5703125" bestFit="1" customWidth="1"/>
    <col min="10262" max="10262" width="11.5703125" bestFit="1" customWidth="1"/>
    <col min="10263" max="10263" width="10.5703125" bestFit="1" customWidth="1"/>
    <col min="10264" max="10264" width="11.5703125" bestFit="1" customWidth="1"/>
    <col min="10265" max="10267" width="10.5703125" bestFit="1" customWidth="1"/>
    <col min="10268" max="10268" width="11.5703125" bestFit="1" customWidth="1"/>
    <col min="10269" max="10272" width="10.5703125" bestFit="1" customWidth="1"/>
    <col min="10273" max="10273" width="11.5703125" bestFit="1" customWidth="1"/>
    <col min="10274" max="10275" width="10.5703125" bestFit="1" customWidth="1"/>
    <col min="10276" max="10276" width="11.5703125" bestFit="1" customWidth="1"/>
    <col min="10498" max="10498" width="16.42578125" customWidth="1"/>
    <col min="10499" max="10501" width="10.5703125" bestFit="1" customWidth="1"/>
    <col min="10502" max="10502" width="11.5703125" bestFit="1" customWidth="1"/>
    <col min="10503" max="10510" width="10.5703125" bestFit="1" customWidth="1"/>
    <col min="10511" max="10511" width="11.5703125" bestFit="1" customWidth="1"/>
    <col min="10512" max="10517" width="10.5703125" bestFit="1" customWidth="1"/>
    <col min="10518" max="10518" width="11.5703125" bestFit="1" customWidth="1"/>
    <col min="10519" max="10519" width="10.5703125" bestFit="1" customWidth="1"/>
    <col min="10520" max="10520" width="11.5703125" bestFit="1" customWidth="1"/>
    <col min="10521" max="10523" width="10.5703125" bestFit="1" customWidth="1"/>
    <col min="10524" max="10524" width="11.5703125" bestFit="1" customWidth="1"/>
    <col min="10525" max="10528" width="10.5703125" bestFit="1" customWidth="1"/>
    <col min="10529" max="10529" width="11.5703125" bestFit="1" customWidth="1"/>
    <col min="10530" max="10531" width="10.5703125" bestFit="1" customWidth="1"/>
    <col min="10532" max="10532" width="11.5703125" bestFit="1" customWidth="1"/>
    <col min="10754" max="10754" width="16.42578125" customWidth="1"/>
    <col min="10755" max="10757" width="10.5703125" bestFit="1" customWidth="1"/>
    <col min="10758" max="10758" width="11.5703125" bestFit="1" customWidth="1"/>
    <col min="10759" max="10766" width="10.5703125" bestFit="1" customWidth="1"/>
    <col min="10767" max="10767" width="11.5703125" bestFit="1" customWidth="1"/>
    <col min="10768" max="10773" width="10.5703125" bestFit="1" customWidth="1"/>
    <col min="10774" max="10774" width="11.5703125" bestFit="1" customWidth="1"/>
    <col min="10775" max="10775" width="10.5703125" bestFit="1" customWidth="1"/>
    <col min="10776" max="10776" width="11.5703125" bestFit="1" customWidth="1"/>
    <col min="10777" max="10779" width="10.5703125" bestFit="1" customWidth="1"/>
    <col min="10780" max="10780" width="11.5703125" bestFit="1" customWidth="1"/>
    <col min="10781" max="10784" width="10.5703125" bestFit="1" customWidth="1"/>
    <col min="10785" max="10785" width="11.5703125" bestFit="1" customWidth="1"/>
    <col min="10786" max="10787" width="10.5703125" bestFit="1" customWidth="1"/>
    <col min="10788" max="10788" width="11.5703125" bestFit="1" customWidth="1"/>
    <col min="11010" max="11010" width="16.42578125" customWidth="1"/>
    <col min="11011" max="11013" width="10.5703125" bestFit="1" customWidth="1"/>
    <col min="11014" max="11014" width="11.5703125" bestFit="1" customWidth="1"/>
    <col min="11015" max="11022" width="10.5703125" bestFit="1" customWidth="1"/>
    <col min="11023" max="11023" width="11.5703125" bestFit="1" customWidth="1"/>
    <col min="11024" max="11029" width="10.5703125" bestFit="1" customWidth="1"/>
    <col min="11030" max="11030" width="11.5703125" bestFit="1" customWidth="1"/>
    <col min="11031" max="11031" width="10.5703125" bestFit="1" customWidth="1"/>
    <col min="11032" max="11032" width="11.5703125" bestFit="1" customWidth="1"/>
    <col min="11033" max="11035" width="10.5703125" bestFit="1" customWidth="1"/>
    <col min="11036" max="11036" width="11.5703125" bestFit="1" customWidth="1"/>
    <col min="11037" max="11040" width="10.5703125" bestFit="1" customWidth="1"/>
    <col min="11041" max="11041" width="11.5703125" bestFit="1" customWidth="1"/>
    <col min="11042" max="11043" width="10.5703125" bestFit="1" customWidth="1"/>
    <col min="11044" max="11044" width="11.5703125" bestFit="1" customWidth="1"/>
    <col min="11266" max="11266" width="16.42578125" customWidth="1"/>
    <col min="11267" max="11269" width="10.5703125" bestFit="1" customWidth="1"/>
    <col min="11270" max="11270" width="11.5703125" bestFit="1" customWidth="1"/>
    <col min="11271" max="11278" width="10.5703125" bestFit="1" customWidth="1"/>
    <col min="11279" max="11279" width="11.5703125" bestFit="1" customWidth="1"/>
    <col min="11280" max="11285" width="10.5703125" bestFit="1" customWidth="1"/>
    <col min="11286" max="11286" width="11.5703125" bestFit="1" customWidth="1"/>
    <col min="11287" max="11287" width="10.5703125" bestFit="1" customWidth="1"/>
    <col min="11288" max="11288" width="11.5703125" bestFit="1" customWidth="1"/>
    <col min="11289" max="11291" width="10.5703125" bestFit="1" customWidth="1"/>
    <col min="11292" max="11292" width="11.5703125" bestFit="1" customWidth="1"/>
    <col min="11293" max="11296" width="10.5703125" bestFit="1" customWidth="1"/>
    <col min="11297" max="11297" width="11.5703125" bestFit="1" customWidth="1"/>
    <col min="11298" max="11299" width="10.5703125" bestFit="1" customWidth="1"/>
    <col min="11300" max="11300" width="11.5703125" bestFit="1" customWidth="1"/>
    <col min="11522" max="11522" width="16.42578125" customWidth="1"/>
    <col min="11523" max="11525" width="10.5703125" bestFit="1" customWidth="1"/>
    <col min="11526" max="11526" width="11.5703125" bestFit="1" customWidth="1"/>
    <col min="11527" max="11534" width="10.5703125" bestFit="1" customWidth="1"/>
    <col min="11535" max="11535" width="11.5703125" bestFit="1" customWidth="1"/>
    <col min="11536" max="11541" width="10.5703125" bestFit="1" customWidth="1"/>
    <col min="11542" max="11542" width="11.5703125" bestFit="1" customWidth="1"/>
    <col min="11543" max="11543" width="10.5703125" bestFit="1" customWidth="1"/>
    <col min="11544" max="11544" width="11.5703125" bestFit="1" customWidth="1"/>
    <col min="11545" max="11547" width="10.5703125" bestFit="1" customWidth="1"/>
    <col min="11548" max="11548" width="11.5703125" bestFit="1" customWidth="1"/>
    <col min="11549" max="11552" width="10.5703125" bestFit="1" customWidth="1"/>
    <col min="11553" max="11553" width="11.5703125" bestFit="1" customWidth="1"/>
    <col min="11554" max="11555" width="10.5703125" bestFit="1" customWidth="1"/>
    <col min="11556" max="11556" width="11.5703125" bestFit="1" customWidth="1"/>
    <col min="11778" max="11778" width="16.42578125" customWidth="1"/>
    <col min="11779" max="11781" width="10.5703125" bestFit="1" customWidth="1"/>
    <col min="11782" max="11782" width="11.5703125" bestFit="1" customWidth="1"/>
    <col min="11783" max="11790" width="10.5703125" bestFit="1" customWidth="1"/>
    <col min="11791" max="11791" width="11.5703125" bestFit="1" customWidth="1"/>
    <col min="11792" max="11797" width="10.5703125" bestFit="1" customWidth="1"/>
    <col min="11798" max="11798" width="11.5703125" bestFit="1" customWidth="1"/>
    <col min="11799" max="11799" width="10.5703125" bestFit="1" customWidth="1"/>
    <col min="11800" max="11800" width="11.5703125" bestFit="1" customWidth="1"/>
    <col min="11801" max="11803" width="10.5703125" bestFit="1" customWidth="1"/>
    <col min="11804" max="11804" width="11.5703125" bestFit="1" customWidth="1"/>
    <col min="11805" max="11808" width="10.5703125" bestFit="1" customWidth="1"/>
    <col min="11809" max="11809" width="11.5703125" bestFit="1" customWidth="1"/>
    <col min="11810" max="11811" width="10.5703125" bestFit="1" customWidth="1"/>
    <col min="11812" max="11812" width="11.5703125" bestFit="1" customWidth="1"/>
    <col min="12034" max="12034" width="16.42578125" customWidth="1"/>
    <col min="12035" max="12037" width="10.5703125" bestFit="1" customWidth="1"/>
    <col min="12038" max="12038" width="11.5703125" bestFit="1" customWidth="1"/>
    <col min="12039" max="12046" width="10.5703125" bestFit="1" customWidth="1"/>
    <col min="12047" max="12047" width="11.5703125" bestFit="1" customWidth="1"/>
    <col min="12048" max="12053" width="10.5703125" bestFit="1" customWidth="1"/>
    <col min="12054" max="12054" width="11.5703125" bestFit="1" customWidth="1"/>
    <col min="12055" max="12055" width="10.5703125" bestFit="1" customWidth="1"/>
    <col min="12056" max="12056" width="11.5703125" bestFit="1" customWidth="1"/>
    <col min="12057" max="12059" width="10.5703125" bestFit="1" customWidth="1"/>
    <col min="12060" max="12060" width="11.5703125" bestFit="1" customWidth="1"/>
    <col min="12061" max="12064" width="10.5703125" bestFit="1" customWidth="1"/>
    <col min="12065" max="12065" width="11.5703125" bestFit="1" customWidth="1"/>
    <col min="12066" max="12067" width="10.5703125" bestFit="1" customWidth="1"/>
    <col min="12068" max="12068" width="11.5703125" bestFit="1" customWidth="1"/>
    <col min="12290" max="12290" width="16.42578125" customWidth="1"/>
    <col min="12291" max="12293" width="10.5703125" bestFit="1" customWidth="1"/>
    <col min="12294" max="12294" width="11.5703125" bestFit="1" customWidth="1"/>
    <col min="12295" max="12302" width="10.5703125" bestFit="1" customWidth="1"/>
    <col min="12303" max="12303" width="11.5703125" bestFit="1" customWidth="1"/>
    <col min="12304" max="12309" width="10.5703125" bestFit="1" customWidth="1"/>
    <col min="12310" max="12310" width="11.5703125" bestFit="1" customWidth="1"/>
    <col min="12311" max="12311" width="10.5703125" bestFit="1" customWidth="1"/>
    <col min="12312" max="12312" width="11.5703125" bestFit="1" customWidth="1"/>
    <col min="12313" max="12315" width="10.5703125" bestFit="1" customWidth="1"/>
    <col min="12316" max="12316" width="11.5703125" bestFit="1" customWidth="1"/>
    <col min="12317" max="12320" width="10.5703125" bestFit="1" customWidth="1"/>
    <col min="12321" max="12321" width="11.5703125" bestFit="1" customWidth="1"/>
    <col min="12322" max="12323" width="10.5703125" bestFit="1" customWidth="1"/>
    <col min="12324" max="12324" width="11.5703125" bestFit="1" customWidth="1"/>
    <col min="12546" max="12546" width="16.42578125" customWidth="1"/>
    <col min="12547" max="12549" width="10.5703125" bestFit="1" customWidth="1"/>
    <col min="12550" max="12550" width="11.5703125" bestFit="1" customWidth="1"/>
    <col min="12551" max="12558" width="10.5703125" bestFit="1" customWidth="1"/>
    <col min="12559" max="12559" width="11.5703125" bestFit="1" customWidth="1"/>
    <col min="12560" max="12565" width="10.5703125" bestFit="1" customWidth="1"/>
    <col min="12566" max="12566" width="11.5703125" bestFit="1" customWidth="1"/>
    <col min="12567" max="12567" width="10.5703125" bestFit="1" customWidth="1"/>
    <col min="12568" max="12568" width="11.5703125" bestFit="1" customWidth="1"/>
    <col min="12569" max="12571" width="10.5703125" bestFit="1" customWidth="1"/>
    <col min="12572" max="12572" width="11.5703125" bestFit="1" customWidth="1"/>
    <col min="12573" max="12576" width="10.5703125" bestFit="1" customWidth="1"/>
    <col min="12577" max="12577" width="11.5703125" bestFit="1" customWidth="1"/>
    <col min="12578" max="12579" width="10.5703125" bestFit="1" customWidth="1"/>
    <col min="12580" max="12580" width="11.5703125" bestFit="1" customWidth="1"/>
    <col min="12802" max="12802" width="16.42578125" customWidth="1"/>
    <col min="12803" max="12805" width="10.5703125" bestFit="1" customWidth="1"/>
    <col min="12806" max="12806" width="11.5703125" bestFit="1" customWidth="1"/>
    <col min="12807" max="12814" width="10.5703125" bestFit="1" customWidth="1"/>
    <col min="12815" max="12815" width="11.5703125" bestFit="1" customWidth="1"/>
    <col min="12816" max="12821" width="10.5703125" bestFit="1" customWidth="1"/>
    <col min="12822" max="12822" width="11.5703125" bestFit="1" customWidth="1"/>
    <col min="12823" max="12823" width="10.5703125" bestFit="1" customWidth="1"/>
    <col min="12824" max="12824" width="11.5703125" bestFit="1" customWidth="1"/>
    <col min="12825" max="12827" width="10.5703125" bestFit="1" customWidth="1"/>
    <col min="12828" max="12828" width="11.5703125" bestFit="1" customWidth="1"/>
    <col min="12829" max="12832" width="10.5703125" bestFit="1" customWidth="1"/>
    <col min="12833" max="12833" width="11.5703125" bestFit="1" customWidth="1"/>
    <col min="12834" max="12835" width="10.5703125" bestFit="1" customWidth="1"/>
    <col min="12836" max="12836" width="11.5703125" bestFit="1" customWidth="1"/>
    <col min="13058" max="13058" width="16.42578125" customWidth="1"/>
    <col min="13059" max="13061" width="10.5703125" bestFit="1" customWidth="1"/>
    <col min="13062" max="13062" width="11.5703125" bestFit="1" customWidth="1"/>
    <col min="13063" max="13070" width="10.5703125" bestFit="1" customWidth="1"/>
    <col min="13071" max="13071" width="11.5703125" bestFit="1" customWidth="1"/>
    <col min="13072" max="13077" width="10.5703125" bestFit="1" customWidth="1"/>
    <col min="13078" max="13078" width="11.5703125" bestFit="1" customWidth="1"/>
    <col min="13079" max="13079" width="10.5703125" bestFit="1" customWidth="1"/>
    <col min="13080" max="13080" width="11.5703125" bestFit="1" customWidth="1"/>
    <col min="13081" max="13083" width="10.5703125" bestFit="1" customWidth="1"/>
    <col min="13084" max="13084" width="11.5703125" bestFit="1" customWidth="1"/>
    <col min="13085" max="13088" width="10.5703125" bestFit="1" customWidth="1"/>
    <col min="13089" max="13089" width="11.5703125" bestFit="1" customWidth="1"/>
    <col min="13090" max="13091" width="10.5703125" bestFit="1" customWidth="1"/>
    <col min="13092" max="13092" width="11.5703125" bestFit="1" customWidth="1"/>
    <col min="13314" max="13314" width="16.42578125" customWidth="1"/>
    <col min="13315" max="13317" width="10.5703125" bestFit="1" customWidth="1"/>
    <col min="13318" max="13318" width="11.5703125" bestFit="1" customWidth="1"/>
    <col min="13319" max="13326" width="10.5703125" bestFit="1" customWidth="1"/>
    <col min="13327" max="13327" width="11.5703125" bestFit="1" customWidth="1"/>
    <col min="13328" max="13333" width="10.5703125" bestFit="1" customWidth="1"/>
    <col min="13334" max="13334" width="11.5703125" bestFit="1" customWidth="1"/>
    <col min="13335" max="13335" width="10.5703125" bestFit="1" customWidth="1"/>
    <col min="13336" max="13336" width="11.5703125" bestFit="1" customWidth="1"/>
    <col min="13337" max="13339" width="10.5703125" bestFit="1" customWidth="1"/>
    <col min="13340" max="13340" width="11.5703125" bestFit="1" customWidth="1"/>
    <col min="13341" max="13344" width="10.5703125" bestFit="1" customWidth="1"/>
    <col min="13345" max="13345" width="11.5703125" bestFit="1" customWidth="1"/>
    <col min="13346" max="13347" width="10.5703125" bestFit="1" customWidth="1"/>
    <col min="13348" max="13348" width="11.5703125" bestFit="1" customWidth="1"/>
    <col min="13570" max="13570" width="16.42578125" customWidth="1"/>
    <col min="13571" max="13573" width="10.5703125" bestFit="1" customWidth="1"/>
    <col min="13574" max="13574" width="11.5703125" bestFit="1" customWidth="1"/>
    <col min="13575" max="13582" width="10.5703125" bestFit="1" customWidth="1"/>
    <col min="13583" max="13583" width="11.5703125" bestFit="1" customWidth="1"/>
    <col min="13584" max="13589" width="10.5703125" bestFit="1" customWidth="1"/>
    <col min="13590" max="13590" width="11.5703125" bestFit="1" customWidth="1"/>
    <col min="13591" max="13591" width="10.5703125" bestFit="1" customWidth="1"/>
    <col min="13592" max="13592" width="11.5703125" bestFit="1" customWidth="1"/>
    <col min="13593" max="13595" width="10.5703125" bestFit="1" customWidth="1"/>
    <col min="13596" max="13596" width="11.5703125" bestFit="1" customWidth="1"/>
    <col min="13597" max="13600" width="10.5703125" bestFit="1" customWidth="1"/>
    <col min="13601" max="13601" width="11.5703125" bestFit="1" customWidth="1"/>
    <col min="13602" max="13603" width="10.5703125" bestFit="1" customWidth="1"/>
    <col min="13604" max="13604" width="11.5703125" bestFit="1" customWidth="1"/>
    <col min="13826" max="13826" width="16.42578125" customWidth="1"/>
    <col min="13827" max="13829" width="10.5703125" bestFit="1" customWidth="1"/>
    <col min="13830" max="13830" width="11.5703125" bestFit="1" customWidth="1"/>
    <col min="13831" max="13838" width="10.5703125" bestFit="1" customWidth="1"/>
    <col min="13839" max="13839" width="11.5703125" bestFit="1" customWidth="1"/>
    <col min="13840" max="13845" width="10.5703125" bestFit="1" customWidth="1"/>
    <col min="13846" max="13846" width="11.5703125" bestFit="1" customWidth="1"/>
    <col min="13847" max="13847" width="10.5703125" bestFit="1" customWidth="1"/>
    <col min="13848" max="13848" width="11.5703125" bestFit="1" customWidth="1"/>
    <col min="13849" max="13851" width="10.5703125" bestFit="1" customWidth="1"/>
    <col min="13852" max="13852" width="11.5703125" bestFit="1" customWidth="1"/>
    <col min="13853" max="13856" width="10.5703125" bestFit="1" customWidth="1"/>
    <col min="13857" max="13857" width="11.5703125" bestFit="1" customWidth="1"/>
    <col min="13858" max="13859" width="10.5703125" bestFit="1" customWidth="1"/>
    <col min="13860" max="13860" width="11.5703125" bestFit="1" customWidth="1"/>
    <col min="14082" max="14082" width="16.42578125" customWidth="1"/>
    <col min="14083" max="14085" width="10.5703125" bestFit="1" customWidth="1"/>
    <col min="14086" max="14086" width="11.5703125" bestFit="1" customWidth="1"/>
    <col min="14087" max="14094" width="10.5703125" bestFit="1" customWidth="1"/>
    <col min="14095" max="14095" width="11.5703125" bestFit="1" customWidth="1"/>
    <col min="14096" max="14101" width="10.5703125" bestFit="1" customWidth="1"/>
    <col min="14102" max="14102" width="11.5703125" bestFit="1" customWidth="1"/>
    <col min="14103" max="14103" width="10.5703125" bestFit="1" customWidth="1"/>
    <col min="14104" max="14104" width="11.5703125" bestFit="1" customWidth="1"/>
    <col min="14105" max="14107" width="10.5703125" bestFit="1" customWidth="1"/>
    <col min="14108" max="14108" width="11.5703125" bestFit="1" customWidth="1"/>
    <col min="14109" max="14112" width="10.5703125" bestFit="1" customWidth="1"/>
    <col min="14113" max="14113" width="11.5703125" bestFit="1" customWidth="1"/>
    <col min="14114" max="14115" width="10.5703125" bestFit="1" customWidth="1"/>
    <col min="14116" max="14116" width="11.5703125" bestFit="1" customWidth="1"/>
    <col min="14338" max="14338" width="16.42578125" customWidth="1"/>
    <col min="14339" max="14341" width="10.5703125" bestFit="1" customWidth="1"/>
    <col min="14342" max="14342" width="11.5703125" bestFit="1" customWidth="1"/>
    <col min="14343" max="14350" width="10.5703125" bestFit="1" customWidth="1"/>
    <col min="14351" max="14351" width="11.5703125" bestFit="1" customWidth="1"/>
    <col min="14352" max="14357" width="10.5703125" bestFit="1" customWidth="1"/>
    <col min="14358" max="14358" width="11.5703125" bestFit="1" customWidth="1"/>
    <col min="14359" max="14359" width="10.5703125" bestFit="1" customWidth="1"/>
    <col min="14360" max="14360" width="11.5703125" bestFit="1" customWidth="1"/>
    <col min="14361" max="14363" width="10.5703125" bestFit="1" customWidth="1"/>
    <col min="14364" max="14364" width="11.5703125" bestFit="1" customWidth="1"/>
    <col min="14365" max="14368" width="10.5703125" bestFit="1" customWidth="1"/>
    <col min="14369" max="14369" width="11.5703125" bestFit="1" customWidth="1"/>
    <col min="14370" max="14371" width="10.5703125" bestFit="1" customWidth="1"/>
    <col min="14372" max="14372" width="11.5703125" bestFit="1" customWidth="1"/>
    <col min="14594" max="14594" width="16.42578125" customWidth="1"/>
    <col min="14595" max="14597" width="10.5703125" bestFit="1" customWidth="1"/>
    <col min="14598" max="14598" width="11.5703125" bestFit="1" customWidth="1"/>
    <col min="14599" max="14606" width="10.5703125" bestFit="1" customWidth="1"/>
    <col min="14607" max="14607" width="11.5703125" bestFit="1" customWidth="1"/>
    <col min="14608" max="14613" width="10.5703125" bestFit="1" customWidth="1"/>
    <col min="14614" max="14614" width="11.5703125" bestFit="1" customWidth="1"/>
    <col min="14615" max="14615" width="10.5703125" bestFit="1" customWidth="1"/>
    <col min="14616" max="14616" width="11.5703125" bestFit="1" customWidth="1"/>
    <col min="14617" max="14619" width="10.5703125" bestFit="1" customWidth="1"/>
    <col min="14620" max="14620" width="11.5703125" bestFit="1" customWidth="1"/>
    <col min="14621" max="14624" width="10.5703125" bestFit="1" customWidth="1"/>
    <col min="14625" max="14625" width="11.5703125" bestFit="1" customWidth="1"/>
    <col min="14626" max="14627" width="10.5703125" bestFit="1" customWidth="1"/>
    <col min="14628" max="14628" width="11.5703125" bestFit="1" customWidth="1"/>
    <col min="14850" max="14850" width="16.42578125" customWidth="1"/>
    <col min="14851" max="14853" width="10.5703125" bestFit="1" customWidth="1"/>
    <col min="14854" max="14854" width="11.5703125" bestFit="1" customWidth="1"/>
    <col min="14855" max="14862" width="10.5703125" bestFit="1" customWidth="1"/>
    <col min="14863" max="14863" width="11.5703125" bestFit="1" customWidth="1"/>
    <col min="14864" max="14869" width="10.5703125" bestFit="1" customWidth="1"/>
    <col min="14870" max="14870" width="11.5703125" bestFit="1" customWidth="1"/>
    <col min="14871" max="14871" width="10.5703125" bestFit="1" customWidth="1"/>
    <col min="14872" max="14872" width="11.5703125" bestFit="1" customWidth="1"/>
    <col min="14873" max="14875" width="10.5703125" bestFit="1" customWidth="1"/>
    <col min="14876" max="14876" width="11.5703125" bestFit="1" customWidth="1"/>
    <col min="14877" max="14880" width="10.5703125" bestFit="1" customWidth="1"/>
    <col min="14881" max="14881" width="11.5703125" bestFit="1" customWidth="1"/>
    <col min="14882" max="14883" width="10.5703125" bestFit="1" customWidth="1"/>
    <col min="14884" max="14884" width="11.5703125" bestFit="1" customWidth="1"/>
    <col min="15106" max="15106" width="16.42578125" customWidth="1"/>
    <col min="15107" max="15109" width="10.5703125" bestFit="1" customWidth="1"/>
    <col min="15110" max="15110" width="11.5703125" bestFit="1" customWidth="1"/>
    <col min="15111" max="15118" width="10.5703125" bestFit="1" customWidth="1"/>
    <col min="15119" max="15119" width="11.5703125" bestFit="1" customWidth="1"/>
    <col min="15120" max="15125" width="10.5703125" bestFit="1" customWidth="1"/>
    <col min="15126" max="15126" width="11.5703125" bestFit="1" customWidth="1"/>
    <col min="15127" max="15127" width="10.5703125" bestFit="1" customWidth="1"/>
    <col min="15128" max="15128" width="11.5703125" bestFit="1" customWidth="1"/>
    <col min="15129" max="15131" width="10.5703125" bestFit="1" customWidth="1"/>
    <col min="15132" max="15132" width="11.5703125" bestFit="1" customWidth="1"/>
    <col min="15133" max="15136" width="10.5703125" bestFit="1" customWidth="1"/>
    <col min="15137" max="15137" width="11.5703125" bestFit="1" customWidth="1"/>
    <col min="15138" max="15139" width="10.5703125" bestFit="1" customWidth="1"/>
    <col min="15140" max="15140" width="11.5703125" bestFit="1" customWidth="1"/>
    <col min="15362" max="15362" width="16.42578125" customWidth="1"/>
    <col min="15363" max="15365" width="10.5703125" bestFit="1" customWidth="1"/>
    <col min="15366" max="15366" width="11.5703125" bestFit="1" customWidth="1"/>
    <col min="15367" max="15374" width="10.5703125" bestFit="1" customWidth="1"/>
    <col min="15375" max="15375" width="11.5703125" bestFit="1" customWidth="1"/>
    <col min="15376" max="15381" width="10.5703125" bestFit="1" customWidth="1"/>
    <col min="15382" max="15382" width="11.5703125" bestFit="1" customWidth="1"/>
    <col min="15383" max="15383" width="10.5703125" bestFit="1" customWidth="1"/>
    <col min="15384" max="15384" width="11.5703125" bestFit="1" customWidth="1"/>
    <col min="15385" max="15387" width="10.5703125" bestFit="1" customWidth="1"/>
    <col min="15388" max="15388" width="11.5703125" bestFit="1" customWidth="1"/>
    <col min="15389" max="15392" width="10.5703125" bestFit="1" customWidth="1"/>
    <col min="15393" max="15393" width="11.5703125" bestFit="1" customWidth="1"/>
    <col min="15394" max="15395" width="10.5703125" bestFit="1" customWidth="1"/>
    <col min="15396" max="15396" width="11.5703125" bestFit="1" customWidth="1"/>
    <col min="15618" max="15618" width="16.42578125" customWidth="1"/>
    <col min="15619" max="15621" width="10.5703125" bestFit="1" customWidth="1"/>
    <col min="15622" max="15622" width="11.5703125" bestFit="1" customWidth="1"/>
    <col min="15623" max="15630" width="10.5703125" bestFit="1" customWidth="1"/>
    <col min="15631" max="15631" width="11.5703125" bestFit="1" customWidth="1"/>
    <col min="15632" max="15637" width="10.5703125" bestFit="1" customWidth="1"/>
    <col min="15638" max="15638" width="11.5703125" bestFit="1" customWidth="1"/>
    <col min="15639" max="15639" width="10.5703125" bestFit="1" customWidth="1"/>
    <col min="15640" max="15640" width="11.5703125" bestFit="1" customWidth="1"/>
    <col min="15641" max="15643" width="10.5703125" bestFit="1" customWidth="1"/>
    <col min="15644" max="15644" width="11.5703125" bestFit="1" customWidth="1"/>
    <col min="15645" max="15648" width="10.5703125" bestFit="1" customWidth="1"/>
    <col min="15649" max="15649" width="11.5703125" bestFit="1" customWidth="1"/>
    <col min="15650" max="15651" width="10.5703125" bestFit="1" customWidth="1"/>
    <col min="15652" max="15652" width="11.5703125" bestFit="1" customWidth="1"/>
    <col min="15874" max="15874" width="16.42578125" customWidth="1"/>
    <col min="15875" max="15877" width="10.5703125" bestFit="1" customWidth="1"/>
    <col min="15878" max="15878" width="11.5703125" bestFit="1" customWidth="1"/>
    <col min="15879" max="15886" width="10.5703125" bestFit="1" customWidth="1"/>
    <col min="15887" max="15887" width="11.5703125" bestFit="1" customWidth="1"/>
    <col min="15888" max="15893" width="10.5703125" bestFit="1" customWidth="1"/>
    <col min="15894" max="15894" width="11.5703125" bestFit="1" customWidth="1"/>
    <col min="15895" max="15895" width="10.5703125" bestFit="1" customWidth="1"/>
    <col min="15896" max="15896" width="11.5703125" bestFit="1" customWidth="1"/>
    <col min="15897" max="15899" width="10.5703125" bestFit="1" customWidth="1"/>
    <col min="15900" max="15900" width="11.5703125" bestFit="1" customWidth="1"/>
    <col min="15901" max="15904" width="10.5703125" bestFit="1" customWidth="1"/>
    <col min="15905" max="15905" width="11.5703125" bestFit="1" customWidth="1"/>
    <col min="15906" max="15907" width="10.5703125" bestFit="1" customWidth="1"/>
    <col min="15908" max="15908" width="11.5703125" bestFit="1" customWidth="1"/>
    <col min="16130" max="16130" width="16.42578125" customWidth="1"/>
    <col min="16131" max="16133" width="10.5703125" bestFit="1" customWidth="1"/>
    <col min="16134" max="16134" width="11.5703125" bestFit="1" customWidth="1"/>
    <col min="16135" max="16142" width="10.5703125" bestFit="1" customWidth="1"/>
    <col min="16143" max="16143" width="11.5703125" bestFit="1" customWidth="1"/>
    <col min="16144" max="16149" width="10.5703125" bestFit="1" customWidth="1"/>
    <col min="16150" max="16150" width="11.5703125" bestFit="1" customWidth="1"/>
    <col min="16151" max="16151" width="10.5703125" bestFit="1" customWidth="1"/>
    <col min="16152" max="16152" width="11.5703125" bestFit="1" customWidth="1"/>
    <col min="16153" max="16155" width="10.5703125" bestFit="1" customWidth="1"/>
    <col min="16156" max="16156" width="11.5703125" bestFit="1" customWidth="1"/>
    <col min="16157" max="16160" width="10.5703125" bestFit="1" customWidth="1"/>
    <col min="16161" max="16161" width="11.5703125" bestFit="1" customWidth="1"/>
    <col min="16162" max="16163" width="10.5703125" bestFit="1" customWidth="1"/>
    <col min="16164" max="16164" width="11.5703125" bestFit="1" customWidth="1"/>
  </cols>
  <sheetData>
    <row r="5" spans="2:37" x14ac:dyDescent="0.25">
      <c r="B5" s="12" t="s">
        <v>167</v>
      </c>
      <c r="C5">
        <v>1</v>
      </c>
      <c r="D5">
        <v>2</v>
      </c>
      <c r="E5">
        <v>4</v>
      </c>
      <c r="F5">
        <v>5</v>
      </c>
      <c r="G5">
        <v>6</v>
      </c>
      <c r="H5">
        <v>8</v>
      </c>
      <c r="I5">
        <v>9</v>
      </c>
      <c r="J5">
        <v>10</v>
      </c>
      <c r="K5">
        <v>11</v>
      </c>
      <c r="L5">
        <v>12</v>
      </c>
      <c r="M5">
        <v>13</v>
      </c>
      <c r="N5">
        <v>17</v>
      </c>
      <c r="O5">
        <v>19</v>
      </c>
      <c r="P5">
        <v>21</v>
      </c>
      <c r="Q5">
        <v>24</v>
      </c>
      <c r="R5">
        <v>25</v>
      </c>
      <c r="S5">
        <v>26</v>
      </c>
      <c r="T5">
        <v>29</v>
      </c>
      <c r="U5">
        <v>30</v>
      </c>
      <c r="V5">
        <v>32</v>
      </c>
      <c r="W5">
        <v>33</v>
      </c>
      <c r="X5">
        <v>37</v>
      </c>
      <c r="Y5">
        <v>38</v>
      </c>
      <c r="Z5">
        <v>39</v>
      </c>
      <c r="AA5">
        <v>40</v>
      </c>
      <c r="AB5">
        <v>41</v>
      </c>
      <c r="AC5">
        <v>43</v>
      </c>
      <c r="AD5">
        <v>45</v>
      </c>
      <c r="AE5">
        <v>46</v>
      </c>
      <c r="AF5">
        <v>52</v>
      </c>
      <c r="AG5">
        <v>58</v>
      </c>
      <c r="AH5">
        <v>59</v>
      </c>
      <c r="AI5">
        <v>61</v>
      </c>
      <c r="AJ5">
        <v>62</v>
      </c>
      <c r="AK5">
        <v>63</v>
      </c>
    </row>
    <row r="6" spans="2:37" x14ac:dyDescent="0.25">
      <c r="B6" s="12"/>
    </row>
    <row r="7" spans="2:37" x14ac:dyDescent="0.25">
      <c r="B7" s="12"/>
    </row>
    <row r="8" spans="2:37" x14ac:dyDescent="0.25">
      <c r="B8" s="12"/>
    </row>
    <row r="9" spans="2:37" x14ac:dyDescent="0.25">
      <c r="B9" s="12" t="s">
        <v>168</v>
      </c>
      <c r="C9" t="s">
        <v>169</v>
      </c>
      <c r="D9" t="s">
        <v>170</v>
      </c>
      <c r="E9" t="s">
        <v>82</v>
      </c>
      <c r="F9" t="s">
        <v>170</v>
      </c>
      <c r="G9" t="s">
        <v>171</v>
      </c>
      <c r="H9" t="s">
        <v>82</v>
      </c>
      <c r="I9" t="s">
        <v>170</v>
      </c>
      <c r="J9" t="s">
        <v>170</v>
      </c>
      <c r="K9" t="s">
        <v>93</v>
      </c>
      <c r="L9" t="s">
        <v>82</v>
      </c>
      <c r="M9" t="s">
        <v>170</v>
      </c>
      <c r="N9" t="s">
        <v>170</v>
      </c>
      <c r="P9" t="s">
        <v>97</v>
      </c>
      <c r="Q9" t="s">
        <v>170</v>
      </c>
      <c r="R9" t="s">
        <v>170</v>
      </c>
      <c r="S9" t="s">
        <v>82</v>
      </c>
      <c r="T9" t="s">
        <v>100</v>
      </c>
      <c r="U9" t="s">
        <v>82</v>
      </c>
      <c r="W9" t="s">
        <v>170</v>
      </c>
      <c r="X9" t="s">
        <v>102</v>
      </c>
      <c r="Y9" t="s">
        <v>82</v>
      </c>
      <c r="Z9" t="s">
        <v>93</v>
      </c>
      <c r="AA9" t="s">
        <v>162</v>
      </c>
      <c r="AB9" s="88"/>
      <c r="AC9" t="s">
        <v>82</v>
      </c>
      <c r="AD9" t="s">
        <v>170</v>
      </c>
      <c r="AE9" t="s">
        <v>170</v>
      </c>
      <c r="AF9" t="s">
        <v>170</v>
      </c>
      <c r="AG9" t="s">
        <v>93</v>
      </c>
      <c r="AH9" t="s">
        <v>82</v>
      </c>
      <c r="AI9" t="s">
        <v>172</v>
      </c>
      <c r="AJ9" t="s">
        <v>170</v>
      </c>
      <c r="AK9" t="s">
        <v>158</v>
      </c>
    </row>
    <row r="10" spans="2:37" x14ac:dyDescent="0.25">
      <c r="B10" s="87" t="s">
        <v>173</v>
      </c>
      <c r="C10" s="89">
        <v>41030</v>
      </c>
      <c r="D10" s="89">
        <v>40391</v>
      </c>
      <c r="E10" s="89">
        <v>40360</v>
      </c>
      <c r="F10" s="90">
        <v>2007</v>
      </c>
      <c r="G10" s="89">
        <v>39845</v>
      </c>
      <c r="H10" s="89">
        <v>41122</v>
      </c>
      <c r="I10" s="89">
        <v>40148</v>
      </c>
      <c r="J10" s="89">
        <v>39539</v>
      </c>
      <c r="K10" s="89">
        <v>41122</v>
      </c>
      <c r="L10" s="89">
        <v>40756</v>
      </c>
      <c r="M10" s="89">
        <v>40695</v>
      </c>
      <c r="N10" s="89">
        <v>40909</v>
      </c>
      <c r="O10" s="89">
        <v>39965</v>
      </c>
      <c r="P10" s="89">
        <v>39995</v>
      </c>
      <c r="Q10" s="89">
        <v>40664</v>
      </c>
      <c r="R10" s="89">
        <v>40756</v>
      </c>
      <c r="S10" s="89">
        <v>40026</v>
      </c>
      <c r="T10" s="89">
        <v>40118</v>
      </c>
      <c r="U10" s="90">
        <v>2009</v>
      </c>
      <c r="V10" s="89">
        <v>40513</v>
      </c>
      <c r="W10" s="90">
        <v>2009</v>
      </c>
      <c r="X10" s="89">
        <v>41000</v>
      </c>
      <c r="Y10" s="90">
        <v>2010</v>
      </c>
      <c r="Z10" s="89">
        <v>40603</v>
      </c>
      <c r="AA10" s="89">
        <v>40544</v>
      </c>
      <c r="AB10" s="89">
        <v>40878</v>
      </c>
      <c r="AC10" s="89">
        <v>40391</v>
      </c>
      <c r="AD10" s="89">
        <v>40878</v>
      </c>
      <c r="AE10" s="89">
        <v>39904</v>
      </c>
      <c r="AF10" s="89">
        <v>40909</v>
      </c>
      <c r="AG10" s="89">
        <v>41153</v>
      </c>
      <c r="AH10" s="89">
        <v>41091</v>
      </c>
      <c r="AI10" s="89">
        <v>41214</v>
      </c>
      <c r="AJ10" s="90">
        <v>2010</v>
      </c>
      <c r="AK10" s="91"/>
    </row>
    <row r="11" spans="2:37" x14ac:dyDescent="0.25">
      <c r="B11" s="87"/>
      <c r="C11" s="89"/>
      <c r="D11" s="89"/>
      <c r="E11" s="89"/>
      <c r="F11" s="90"/>
      <c r="G11" s="89"/>
      <c r="H11" s="89"/>
      <c r="I11" s="89"/>
      <c r="J11" s="89"/>
      <c r="K11" s="89"/>
      <c r="L11" s="89"/>
      <c r="M11" s="89"/>
      <c r="N11" s="89"/>
      <c r="O11" s="89"/>
      <c r="P11" s="89"/>
      <c r="Q11" s="89"/>
      <c r="R11" s="89"/>
      <c r="S11" s="89"/>
      <c r="T11" s="89"/>
      <c r="U11" s="90"/>
      <c r="V11" s="89"/>
      <c r="W11" s="90"/>
      <c r="X11" s="89"/>
      <c r="Y11" s="90"/>
      <c r="Z11" s="89"/>
      <c r="AA11" s="89"/>
      <c r="AB11" s="89"/>
      <c r="AC11" s="89"/>
      <c r="AD11" s="89"/>
      <c r="AE11" s="89"/>
      <c r="AF11" s="89"/>
      <c r="AG11" s="89"/>
      <c r="AH11" s="89"/>
      <c r="AI11" s="89"/>
      <c r="AJ11" s="90"/>
      <c r="AK11" s="91"/>
    </row>
    <row r="12" spans="2:37" x14ac:dyDescent="0.25">
      <c r="B12" s="87" t="s">
        <v>174</v>
      </c>
      <c r="C12" s="91">
        <v>50</v>
      </c>
      <c r="D12" s="91">
        <v>10</v>
      </c>
      <c r="E12" s="91" t="s">
        <v>175</v>
      </c>
      <c r="F12" s="89" t="s">
        <v>176</v>
      </c>
      <c r="G12" s="91">
        <v>27</v>
      </c>
      <c r="H12" s="91">
        <v>26</v>
      </c>
      <c r="I12" s="91">
        <v>30</v>
      </c>
      <c r="J12" s="91">
        <v>35</v>
      </c>
      <c r="K12" s="91">
        <v>25</v>
      </c>
      <c r="L12" s="91">
        <v>7</v>
      </c>
      <c r="M12" s="91">
        <v>24</v>
      </c>
      <c r="N12" s="91">
        <v>48</v>
      </c>
      <c r="O12" s="91" t="s">
        <v>177</v>
      </c>
      <c r="P12" s="91">
        <v>50</v>
      </c>
      <c r="Q12" s="91">
        <v>15</v>
      </c>
      <c r="R12" s="91" t="s">
        <v>178</v>
      </c>
      <c r="S12" s="91">
        <v>27</v>
      </c>
      <c r="T12" s="91">
        <v>36</v>
      </c>
      <c r="U12" s="91">
        <v>26</v>
      </c>
      <c r="V12" s="91">
        <v>350</v>
      </c>
      <c r="W12" s="91">
        <v>40</v>
      </c>
      <c r="X12" s="91">
        <v>40</v>
      </c>
      <c r="Y12" s="91">
        <v>45</v>
      </c>
      <c r="Z12" s="91">
        <v>40</v>
      </c>
      <c r="AA12" s="91" t="s">
        <v>179</v>
      </c>
      <c r="AB12" s="91">
        <v>100</v>
      </c>
      <c r="AC12" s="91">
        <v>25</v>
      </c>
      <c r="AD12" s="91">
        <v>34</v>
      </c>
      <c r="AE12" s="91">
        <v>50</v>
      </c>
      <c r="AF12" s="91">
        <v>18</v>
      </c>
      <c r="AG12" s="91">
        <v>25</v>
      </c>
      <c r="AH12" s="91">
        <v>60</v>
      </c>
      <c r="AI12" s="91">
        <v>20</v>
      </c>
      <c r="AJ12" s="91">
        <v>85</v>
      </c>
      <c r="AK12" s="91">
        <v>120</v>
      </c>
    </row>
    <row r="13" spans="2:37" x14ac:dyDescent="0.25">
      <c r="B13" s="87"/>
      <c r="C13" s="91"/>
      <c r="D13" s="91"/>
      <c r="E13" s="91"/>
      <c r="F13" s="89"/>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row>
    <row r="14" spans="2:37" x14ac:dyDescent="0.25">
      <c r="B14" s="87"/>
      <c r="C14" s="91"/>
      <c r="D14" s="91"/>
      <c r="E14" s="91"/>
      <c r="F14" s="89"/>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row>
    <row r="15" spans="2:37" x14ac:dyDescent="0.25">
      <c r="B15" s="87" t="s">
        <v>180</v>
      </c>
      <c r="C15" s="91">
        <v>200</v>
      </c>
      <c r="D15" s="91" t="s">
        <v>181</v>
      </c>
      <c r="E15" s="91" t="s">
        <v>181</v>
      </c>
      <c r="F15" s="91" t="s">
        <v>181</v>
      </c>
      <c r="G15" s="91" t="s">
        <v>181</v>
      </c>
      <c r="H15" s="91">
        <v>40</v>
      </c>
      <c r="I15" s="91">
        <v>60</v>
      </c>
      <c r="J15" s="91" t="s">
        <v>181</v>
      </c>
      <c r="K15" s="91">
        <v>40</v>
      </c>
      <c r="L15" s="91">
        <v>20</v>
      </c>
      <c r="M15" s="91">
        <v>50</v>
      </c>
      <c r="N15" s="91">
        <v>60</v>
      </c>
      <c r="O15" s="91" t="s">
        <v>159</v>
      </c>
      <c r="P15" s="91" t="s">
        <v>181</v>
      </c>
      <c r="Q15" s="91" t="s">
        <v>181</v>
      </c>
      <c r="R15" s="91" t="s">
        <v>181</v>
      </c>
      <c r="S15" s="91" t="s">
        <v>181</v>
      </c>
      <c r="T15" s="91" t="s">
        <v>181</v>
      </c>
      <c r="U15" s="91">
        <v>40</v>
      </c>
      <c r="V15" s="91" t="s">
        <v>181</v>
      </c>
      <c r="W15" s="91" t="s">
        <v>181</v>
      </c>
      <c r="X15" s="91" t="s">
        <v>181</v>
      </c>
      <c r="Y15" s="91" t="s">
        <v>181</v>
      </c>
      <c r="Z15" s="91">
        <v>50</v>
      </c>
      <c r="AA15" s="91">
        <v>140</v>
      </c>
      <c r="AB15" s="91"/>
      <c r="AC15" s="91" t="s">
        <v>181</v>
      </c>
      <c r="AD15" s="91">
        <v>40</v>
      </c>
      <c r="AE15" s="91" t="s">
        <v>181</v>
      </c>
      <c r="AF15" s="91">
        <v>30</v>
      </c>
      <c r="AG15" s="91" t="s">
        <v>181</v>
      </c>
      <c r="AH15" s="91" t="s">
        <v>181</v>
      </c>
      <c r="AI15" s="91">
        <v>60</v>
      </c>
      <c r="AJ15" s="91">
        <v>150</v>
      </c>
      <c r="AK15" s="91"/>
    </row>
    <row r="16" spans="2:37" x14ac:dyDescent="0.25">
      <c r="B16" s="87" t="s">
        <v>182</v>
      </c>
      <c r="C16" s="91" t="s">
        <v>183</v>
      </c>
      <c r="D16" s="91" t="s">
        <v>183</v>
      </c>
      <c r="E16" s="91" t="s">
        <v>183</v>
      </c>
      <c r="F16" s="91" t="s">
        <v>184</v>
      </c>
      <c r="G16" s="91" t="s">
        <v>183</v>
      </c>
      <c r="H16" s="91" t="s">
        <v>183</v>
      </c>
      <c r="I16" s="91" t="s">
        <v>183</v>
      </c>
      <c r="J16" s="91" t="s">
        <v>184</v>
      </c>
      <c r="K16" s="91" t="s">
        <v>183</v>
      </c>
      <c r="L16" s="91" t="s">
        <v>183</v>
      </c>
      <c r="M16" s="91" t="s">
        <v>183</v>
      </c>
      <c r="N16" s="91" t="s">
        <v>183</v>
      </c>
      <c r="O16" s="91" t="s">
        <v>183</v>
      </c>
      <c r="P16" s="91" t="s">
        <v>183</v>
      </c>
      <c r="Q16" s="91" t="s">
        <v>183</v>
      </c>
      <c r="R16" s="91" t="s">
        <v>183</v>
      </c>
      <c r="S16" s="91" t="s">
        <v>183</v>
      </c>
      <c r="T16" s="91" t="s">
        <v>183</v>
      </c>
      <c r="U16" s="91" t="s">
        <v>183</v>
      </c>
      <c r="V16" s="91" t="s">
        <v>183</v>
      </c>
      <c r="W16" s="91" t="s">
        <v>183</v>
      </c>
      <c r="X16" s="91" t="s">
        <v>183</v>
      </c>
      <c r="Y16" s="91" t="s">
        <v>183</v>
      </c>
      <c r="Z16" s="91" t="s">
        <v>183</v>
      </c>
      <c r="AA16" s="91" t="s">
        <v>183</v>
      </c>
      <c r="AB16" s="91" t="s">
        <v>183</v>
      </c>
      <c r="AC16" s="91" t="s">
        <v>183</v>
      </c>
      <c r="AD16" s="91" t="s">
        <v>183</v>
      </c>
      <c r="AE16" s="91" t="s">
        <v>183</v>
      </c>
      <c r="AF16" s="91" t="s">
        <v>183</v>
      </c>
      <c r="AG16" s="91" t="s">
        <v>183</v>
      </c>
      <c r="AH16" s="91" t="s">
        <v>183</v>
      </c>
      <c r="AI16" s="91" t="s">
        <v>183</v>
      </c>
      <c r="AJ16" s="91" t="s">
        <v>183</v>
      </c>
      <c r="AK16" s="91" t="s">
        <v>184</v>
      </c>
    </row>
    <row r="17" spans="2:37" x14ac:dyDescent="0.25">
      <c r="B17" s="87"/>
      <c r="C17" s="91"/>
      <c r="D17" s="91"/>
      <c r="E17" s="91"/>
      <c r="F17" s="91"/>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row>
    <row r="18" spans="2:37" x14ac:dyDescent="0.25">
      <c r="B18" s="87"/>
      <c r="C18" s="91"/>
      <c r="D18" s="91"/>
      <c r="E18" s="91"/>
      <c r="F18" s="91"/>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row>
    <row r="19" spans="2:37" s="94" customFormat="1" x14ac:dyDescent="0.25">
      <c r="B19" s="92" t="s">
        <v>185</v>
      </c>
      <c r="C19" s="93">
        <v>25000</v>
      </c>
      <c r="D19" s="93">
        <v>30000</v>
      </c>
      <c r="E19" s="93">
        <v>82000</v>
      </c>
      <c r="F19" s="93">
        <v>184000</v>
      </c>
      <c r="G19" s="93">
        <v>74763</v>
      </c>
      <c r="H19" s="93">
        <v>45000</v>
      </c>
      <c r="I19" s="93">
        <v>43445</v>
      </c>
      <c r="J19" s="93">
        <v>41650</v>
      </c>
      <c r="K19" s="93">
        <v>18000</v>
      </c>
      <c r="L19" s="93">
        <v>15672</v>
      </c>
      <c r="M19" s="93">
        <v>30000</v>
      </c>
      <c r="N19" s="93">
        <v>30000</v>
      </c>
      <c r="O19" s="93">
        <v>100000</v>
      </c>
      <c r="P19" s="93">
        <v>50000</v>
      </c>
      <c r="Q19" s="93">
        <v>30000</v>
      </c>
      <c r="R19" s="93">
        <v>35000</v>
      </c>
      <c r="S19" s="93">
        <v>50000</v>
      </c>
      <c r="T19" s="93">
        <v>50000</v>
      </c>
      <c r="U19" s="93"/>
      <c r="V19" s="93">
        <v>365000</v>
      </c>
      <c r="W19" s="93">
        <v>20000</v>
      </c>
      <c r="X19" s="93">
        <v>600000</v>
      </c>
      <c r="Y19" s="93" t="s">
        <v>159</v>
      </c>
      <c r="Z19" s="93">
        <v>18000</v>
      </c>
      <c r="AA19" s="93">
        <v>60000</v>
      </c>
      <c r="AB19" s="93">
        <v>190000</v>
      </c>
      <c r="AC19" s="93">
        <v>32000</v>
      </c>
      <c r="AD19" s="93">
        <v>45000</v>
      </c>
      <c r="AE19" s="93">
        <v>10000</v>
      </c>
      <c r="AF19" s="93"/>
      <c r="AG19" s="93">
        <v>100000</v>
      </c>
      <c r="AH19" s="93">
        <v>30000</v>
      </c>
      <c r="AI19" s="93">
        <v>85000</v>
      </c>
      <c r="AJ19" s="93">
        <v>172471</v>
      </c>
      <c r="AK19" s="93"/>
    </row>
    <row r="20" spans="2:37" s="94" customFormat="1" x14ac:dyDescent="0.25">
      <c r="B20" s="92" t="s">
        <v>186</v>
      </c>
      <c r="C20" s="93">
        <v>22000</v>
      </c>
      <c r="D20" s="93">
        <v>16000</v>
      </c>
      <c r="E20" s="93">
        <v>14500</v>
      </c>
      <c r="F20" s="93">
        <v>24000</v>
      </c>
      <c r="G20" s="93">
        <v>14609</v>
      </c>
      <c r="H20" s="93">
        <v>15000</v>
      </c>
      <c r="I20" s="93">
        <v>17110</v>
      </c>
      <c r="J20" s="93">
        <v>20500</v>
      </c>
      <c r="K20" s="93">
        <v>13000</v>
      </c>
      <c r="L20" s="93">
        <v>13672</v>
      </c>
      <c r="M20" s="93">
        <v>20000</v>
      </c>
      <c r="N20" s="93">
        <v>20000</v>
      </c>
      <c r="O20" s="93">
        <v>26000</v>
      </c>
      <c r="P20" s="93">
        <v>15500</v>
      </c>
      <c r="Q20" s="93">
        <v>11000</v>
      </c>
      <c r="R20" s="93">
        <v>25000</v>
      </c>
      <c r="S20" s="93">
        <v>14700</v>
      </c>
      <c r="T20" s="93">
        <v>18000</v>
      </c>
      <c r="U20" s="93">
        <v>12000</v>
      </c>
      <c r="V20" s="93">
        <v>15000</v>
      </c>
      <c r="W20" s="93">
        <v>13000</v>
      </c>
      <c r="X20" s="93">
        <v>18000</v>
      </c>
      <c r="Y20" s="93">
        <v>16000</v>
      </c>
      <c r="Z20" s="93">
        <v>15500</v>
      </c>
      <c r="AA20" s="93">
        <v>40000</v>
      </c>
      <c r="AB20" s="93">
        <v>52042</v>
      </c>
      <c r="AC20" s="93">
        <v>17000</v>
      </c>
      <c r="AD20" s="93">
        <v>14000</v>
      </c>
      <c r="AE20" s="93">
        <v>23000</v>
      </c>
      <c r="AF20" s="93">
        <v>16500</v>
      </c>
      <c r="AG20" s="93">
        <v>13000</v>
      </c>
      <c r="AH20" s="93">
        <v>17000</v>
      </c>
      <c r="AI20" s="93">
        <v>16000</v>
      </c>
      <c r="AJ20" s="93">
        <v>80000</v>
      </c>
      <c r="AK20" s="93"/>
    </row>
    <row r="21" spans="2:37" s="94" customFormat="1" x14ac:dyDescent="0.25">
      <c r="B21" s="92" t="s">
        <v>187</v>
      </c>
      <c r="C21" s="93">
        <v>3000</v>
      </c>
      <c r="D21" s="93">
        <v>14000</v>
      </c>
      <c r="E21" s="93">
        <v>67500</v>
      </c>
      <c r="F21" s="93">
        <v>160000</v>
      </c>
      <c r="G21" s="93">
        <v>60154</v>
      </c>
      <c r="H21" s="93">
        <v>30000</v>
      </c>
      <c r="I21" s="93">
        <v>26335</v>
      </c>
      <c r="J21" s="93">
        <v>21150</v>
      </c>
      <c r="K21" s="93">
        <v>5000</v>
      </c>
      <c r="L21" s="93">
        <v>2000</v>
      </c>
      <c r="M21" s="93">
        <v>10000</v>
      </c>
      <c r="N21" s="93"/>
      <c r="O21" s="93">
        <v>74000</v>
      </c>
      <c r="P21" s="93">
        <v>34500</v>
      </c>
      <c r="Q21" s="93">
        <v>19000</v>
      </c>
      <c r="R21" s="93">
        <v>10000</v>
      </c>
      <c r="S21" s="93">
        <v>35300</v>
      </c>
      <c r="T21" s="93">
        <v>32000</v>
      </c>
      <c r="U21" s="93"/>
      <c r="V21" s="93">
        <v>350000</v>
      </c>
      <c r="W21" s="93">
        <v>7000</v>
      </c>
      <c r="X21" s="93">
        <v>540000</v>
      </c>
      <c r="Y21" s="93"/>
      <c r="Z21" s="93">
        <v>2500</v>
      </c>
      <c r="AA21" s="93">
        <v>20000</v>
      </c>
      <c r="AB21" s="93">
        <v>137958</v>
      </c>
      <c r="AC21" s="93">
        <v>15000</v>
      </c>
      <c r="AD21" s="93">
        <v>31000</v>
      </c>
      <c r="AE21" s="93"/>
      <c r="AF21" s="93">
        <v>13855</v>
      </c>
      <c r="AG21" s="93">
        <v>82000</v>
      </c>
      <c r="AH21" s="93">
        <v>13000</v>
      </c>
      <c r="AI21" s="93">
        <v>69000</v>
      </c>
      <c r="AJ21" s="93">
        <v>40000</v>
      </c>
      <c r="AK21" s="93"/>
    </row>
    <row r="22" spans="2:37" x14ac:dyDescent="0.25">
      <c r="B22" s="95" t="s">
        <v>188</v>
      </c>
      <c r="C22" s="96" t="s">
        <v>184</v>
      </c>
      <c r="D22" s="96" t="s">
        <v>184</v>
      </c>
      <c r="E22" s="96" t="s">
        <v>184</v>
      </c>
      <c r="F22" s="96" t="s">
        <v>189</v>
      </c>
      <c r="G22" s="96" t="s">
        <v>184</v>
      </c>
      <c r="H22" s="96" t="s">
        <v>184</v>
      </c>
      <c r="I22" s="96" t="s">
        <v>184</v>
      </c>
      <c r="J22" s="96" t="s">
        <v>189</v>
      </c>
      <c r="K22" s="96" t="s">
        <v>184</v>
      </c>
      <c r="L22" s="96" t="s">
        <v>184</v>
      </c>
      <c r="M22" s="96" t="s">
        <v>184</v>
      </c>
      <c r="N22" s="96" t="s">
        <v>190</v>
      </c>
      <c r="O22" s="96" t="s">
        <v>189</v>
      </c>
      <c r="P22" s="96" t="s">
        <v>191</v>
      </c>
      <c r="Q22" s="96" t="s">
        <v>184</v>
      </c>
      <c r="R22" s="96" t="s">
        <v>192</v>
      </c>
      <c r="S22" s="96" t="s">
        <v>184</v>
      </c>
      <c r="T22" s="96" t="s">
        <v>189</v>
      </c>
      <c r="U22" s="96" t="s">
        <v>184</v>
      </c>
      <c r="V22" s="96" t="s">
        <v>189</v>
      </c>
      <c r="W22" s="96" t="s">
        <v>189</v>
      </c>
      <c r="X22" s="96" t="s">
        <v>184</v>
      </c>
      <c r="Y22" s="96" t="s">
        <v>184</v>
      </c>
      <c r="Z22" s="96" t="s">
        <v>184</v>
      </c>
      <c r="AA22" s="96" t="s">
        <v>184</v>
      </c>
      <c r="AB22" s="96" t="s">
        <v>184</v>
      </c>
      <c r="AC22" s="96" t="s">
        <v>184</v>
      </c>
      <c r="AD22" s="96" t="s">
        <v>193</v>
      </c>
      <c r="AE22" s="96" t="s">
        <v>184</v>
      </c>
      <c r="AF22" s="96" t="s">
        <v>184</v>
      </c>
      <c r="AG22" s="96" t="s">
        <v>184</v>
      </c>
      <c r="AH22" s="96" t="s">
        <v>194</v>
      </c>
      <c r="AI22" s="96" t="s">
        <v>195</v>
      </c>
      <c r="AJ22" s="96" t="s">
        <v>184</v>
      </c>
      <c r="AK22" s="96" t="s">
        <v>196</v>
      </c>
    </row>
    <row r="23" spans="2:37" x14ac:dyDescent="0.25">
      <c r="B23" s="95"/>
      <c r="C23" s="96"/>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row>
    <row r="24" spans="2:37" s="94" customFormat="1" x14ac:dyDescent="0.25">
      <c r="B24" s="92" t="s">
        <v>197</v>
      </c>
      <c r="C24" s="93" t="s">
        <v>181</v>
      </c>
      <c r="D24" s="93" t="s">
        <v>181</v>
      </c>
      <c r="E24" s="93" t="s">
        <v>181</v>
      </c>
      <c r="F24" s="93">
        <v>750</v>
      </c>
      <c r="G24" s="93" t="s">
        <v>181</v>
      </c>
      <c r="H24" s="93" t="s">
        <v>181</v>
      </c>
      <c r="I24" s="93" t="s">
        <v>181</v>
      </c>
      <c r="J24" s="93">
        <v>2000</v>
      </c>
      <c r="K24" s="93" t="s">
        <v>181</v>
      </c>
      <c r="L24" s="93" t="s">
        <v>181</v>
      </c>
      <c r="M24" s="93" t="s">
        <v>181</v>
      </c>
      <c r="N24" s="93">
        <v>5000</v>
      </c>
      <c r="O24" s="93">
        <v>750</v>
      </c>
      <c r="P24" s="93">
        <v>27400</v>
      </c>
      <c r="Q24" s="93" t="s">
        <v>181</v>
      </c>
      <c r="R24" s="93" t="s">
        <v>181</v>
      </c>
      <c r="S24" s="93" t="s">
        <v>181</v>
      </c>
      <c r="T24" s="93">
        <v>2000</v>
      </c>
      <c r="U24" s="93"/>
      <c r="V24" s="93"/>
      <c r="W24" s="93">
        <v>1000</v>
      </c>
      <c r="X24" s="93" t="s">
        <v>181</v>
      </c>
      <c r="Y24" s="93" t="s">
        <v>181</v>
      </c>
      <c r="Z24" s="93" t="s">
        <v>181</v>
      </c>
      <c r="AA24" s="93" t="s">
        <v>181</v>
      </c>
      <c r="AB24" s="93" t="s">
        <v>181</v>
      </c>
      <c r="AC24" s="93" t="s">
        <v>181</v>
      </c>
      <c r="AD24" s="93">
        <v>1800</v>
      </c>
      <c r="AE24" s="93"/>
      <c r="AF24" s="93" t="s">
        <v>181</v>
      </c>
      <c r="AG24" s="93" t="s">
        <v>181</v>
      </c>
      <c r="AH24" s="93">
        <v>2000</v>
      </c>
      <c r="AI24" s="93">
        <v>85000</v>
      </c>
      <c r="AJ24" s="93" t="s">
        <v>181</v>
      </c>
      <c r="AK24" s="93"/>
    </row>
    <row r="25" spans="2:37" x14ac:dyDescent="0.25">
      <c r="B25" s="97" t="s">
        <v>198</v>
      </c>
      <c r="C25" s="98">
        <v>10</v>
      </c>
      <c r="D25" s="90" t="s">
        <v>199</v>
      </c>
      <c r="E25" s="90" t="s">
        <v>200</v>
      </c>
      <c r="F25" s="90"/>
      <c r="G25" s="90" t="s">
        <v>201</v>
      </c>
      <c r="H25" s="98">
        <v>15</v>
      </c>
      <c r="I25" s="98">
        <v>20</v>
      </c>
      <c r="J25" s="98">
        <v>10</v>
      </c>
      <c r="K25" s="98">
        <v>10</v>
      </c>
      <c r="L25" s="90" t="s">
        <v>200</v>
      </c>
      <c r="M25" s="98">
        <v>10</v>
      </c>
      <c r="N25" s="98">
        <v>20</v>
      </c>
      <c r="O25" s="90"/>
      <c r="P25" s="90"/>
      <c r="Q25" s="98">
        <v>15</v>
      </c>
      <c r="R25" s="90" t="s">
        <v>199</v>
      </c>
      <c r="S25" s="98">
        <v>10</v>
      </c>
      <c r="T25" s="90" t="s">
        <v>200</v>
      </c>
      <c r="U25" s="90">
        <v>10</v>
      </c>
      <c r="V25" s="90"/>
      <c r="W25" s="98">
        <v>15</v>
      </c>
      <c r="X25" s="98">
        <v>20</v>
      </c>
      <c r="Y25" s="98">
        <v>20</v>
      </c>
      <c r="Z25" s="90" t="s">
        <v>199</v>
      </c>
      <c r="AA25" s="99" t="s">
        <v>202</v>
      </c>
      <c r="AB25" s="98">
        <v>20</v>
      </c>
      <c r="AC25" s="98">
        <v>15</v>
      </c>
      <c r="AD25" s="98">
        <v>15</v>
      </c>
      <c r="AE25" s="98">
        <v>10</v>
      </c>
      <c r="AF25" s="90" t="s">
        <v>203</v>
      </c>
      <c r="AG25" s="98">
        <v>15</v>
      </c>
      <c r="AH25" s="90" t="s">
        <v>200</v>
      </c>
      <c r="AI25" s="98">
        <v>10</v>
      </c>
      <c r="AJ25" s="98">
        <v>20</v>
      </c>
      <c r="AK25" s="90"/>
    </row>
    <row r="26" spans="2:37" x14ac:dyDescent="0.25">
      <c r="B26" s="97" t="s">
        <v>204</v>
      </c>
      <c r="C26" s="90" t="s">
        <v>205</v>
      </c>
      <c r="D26" s="90">
        <v>30</v>
      </c>
      <c r="E26" s="90">
        <v>30</v>
      </c>
      <c r="F26" s="98">
        <v>20</v>
      </c>
      <c r="G26" s="98" t="s">
        <v>206</v>
      </c>
      <c r="H26" s="90" t="s">
        <v>207</v>
      </c>
      <c r="I26" s="90" t="s">
        <v>181</v>
      </c>
      <c r="J26" s="98">
        <v>25</v>
      </c>
      <c r="K26" s="98">
        <v>20</v>
      </c>
      <c r="L26" s="90"/>
      <c r="M26" s="98">
        <v>20</v>
      </c>
      <c r="N26" s="90"/>
      <c r="O26" s="98">
        <v>50</v>
      </c>
      <c r="P26" s="98">
        <v>40</v>
      </c>
      <c r="Q26" s="98">
        <v>25</v>
      </c>
      <c r="R26" s="96" t="s">
        <v>199</v>
      </c>
      <c r="S26" s="98">
        <v>20</v>
      </c>
      <c r="T26" s="90" t="s">
        <v>208</v>
      </c>
      <c r="U26" s="90">
        <v>20</v>
      </c>
      <c r="V26" s="90"/>
      <c r="W26" s="90"/>
      <c r="X26" s="90"/>
      <c r="Y26" s="90"/>
      <c r="Z26" s="90">
        <v>25</v>
      </c>
      <c r="AA26" s="90">
        <v>20</v>
      </c>
      <c r="AB26" s="98">
        <v>25</v>
      </c>
      <c r="AC26" s="98">
        <v>25</v>
      </c>
      <c r="AD26" s="98">
        <v>30</v>
      </c>
      <c r="AE26" s="90"/>
      <c r="AF26" s="90">
        <v>50</v>
      </c>
      <c r="AG26" s="98">
        <v>40</v>
      </c>
      <c r="AH26" s="90" t="s">
        <v>209</v>
      </c>
      <c r="AI26" s="98">
        <v>10</v>
      </c>
      <c r="AJ26" s="98">
        <v>40</v>
      </c>
      <c r="AK26" s="90" t="s">
        <v>210</v>
      </c>
    </row>
    <row r="27" spans="2:37" x14ac:dyDescent="0.25">
      <c r="B27" s="95" t="s">
        <v>211</v>
      </c>
      <c r="C27" s="96" t="s">
        <v>181</v>
      </c>
      <c r="D27" s="96" t="s">
        <v>181</v>
      </c>
      <c r="E27" s="96" t="s">
        <v>181</v>
      </c>
      <c r="F27" s="91"/>
      <c r="G27" s="96" t="s">
        <v>181</v>
      </c>
      <c r="H27" s="96" t="s">
        <v>181</v>
      </c>
      <c r="I27" s="96" t="s">
        <v>181</v>
      </c>
      <c r="J27" s="91"/>
      <c r="K27" s="96" t="s">
        <v>181</v>
      </c>
      <c r="L27" s="91"/>
      <c r="M27" s="96" t="s">
        <v>181</v>
      </c>
      <c r="N27" s="91"/>
      <c r="O27" s="91"/>
      <c r="P27" s="91"/>
      <c r="Q27" s="91" t="s">
        <v>181</v>
      </c>
      <c r="R27" s="96" t="s">
        <v>181</v>
      </c>
      <c r="S27" s="91" t="s">
        <v>181</v>
      </c>
      <c r="T27" s="96" t="s">
        <v>200</v>
      </c>
      <c r="U27" s="91" t="s">
        <v>181</v>
      </c>
      <c r="V27" s="91"/>
      <c r="W27" s="91"/>
      <c r="X27" s="91"/>
      <c r="Y27" s="91" t="s">
        <v>181</v>
      </c>
      <c r="Z27" s="96" t="s">
        <v>181</v>
      </c>
      <c r="AA27" s="96" t="s">
        <v>181</v>
      </c>
      <c r="AB27" s="91" t="s">
        <v>181</v>
      </c>
      <c r="AC27" s="91" t="s">
        <v>181</v>
      </c>
      <c r="AD27" s="98">
        <v>15</v>
      </c>
      <c r="AE27" s="91"/>
      <c r="AF27" s="96" t="s">
        <v>181</v>
      </c>
      <c r="AG27" s="91" t="s">
        <v>181</v>
      </c>
      <c r="AH27" s="96" t="s">
        <v>200</v>
      </c>
      <c r="AI27" s="98">
        <v>10</v>
      </c>
      <c r="AJ27" s="91"/>
      <c r="AK27" s="91"/>
    </row>
    <row r="28" spans="2:37" x14ac:dyDescent="0.25">
      <c r="B28" s="95"/>
      <c r="C28" s="96"/>
      <c r="D28" s="96"/>
      <c r="E28" s="96"/>
      <c r="F28" s="91"/>
      <c r="G28" s="96"/>
      <c r="H28" s="96"/>
      <c r="I28" s="96"/>
      <c r="J28" s="91"/>
      <c r="K28" s="96"/>
      <c r="L28" s="91"/>
      <c r="M28" s="96"/>
      <c r="N28" s="91"/>
      <c r="O28" s="91"/>
      <c r="P28" s="91"/>
      <c r="Q28" s="91"/>
      <c r="R28" s="96"/>
      <c r="S28" s="91"/>
      <c r="T28" s="96"/>
      <c r="U28" s="91"/>
      <c r="V28" s="91"/>
      <c r="W28" s="91"/>
      <c r="X28" s="91"/>
      <c r="Y28" s="91"/>
      <c r="Z28" s="96"/>
      <c r="AA28" s="96"/>
      <c r="AB28" s="91"/>
      <c r="AC28" s="91"/>
      <c r="AD28" s="98"/>
      <c r="AE28" s="91"/>
      <c r="AF28" s="96"/>
      <c r="AG28" s="91"/>
      <c r="AH28" s="96"/>
      <c r="AI28" s="98"/>
      <c r="AJ28" s="91"/>
      <c r="AK28" s="91"/>
    </row>
    <row r="29" spans="2:37" s="94" customFormat="1" x14ac:dyDescent="0.25">
      <c r="B29" s="104" t="s">
        <v>212</v>
      </c>
      <c r="C29" s="105">
        <v>250</v>
      </c>
      <c r="D29" s="105">
        <v>500</v>
      </c>
      <c r="E29" s="105">
        <v>250</v>
      </c>
      <c r="F29" s="105">
        <v>500</v>
      </c>
      <c r="G29" s="105">
        <v>150</v>
      </c>
      <c r="H29" s="105">
        <v>1000</v>
      </c>
      <c r="I29" s="105">
        <v>500</v>
      </c>
      <c r="J29" s="105">
        <v>350</v>
      </c>
      <c r="K29" s="105">
        <v>250</v>
      </c>
      <c r="L29" s="105">
        <v>100</v>
      </c>
      <c r="M29" s="105"/>
      <c r="N29" s="105">
        <v>500</v>
      </c>
      <c r="O29" s="105"/>
      <c r="P29" s="105">
        <v>500</v>
      </c>
      <c r="Q29" s="105">
        <v>200</v>
      </c>
      <c r="R29" s="105">
        <v>9469.52</v>
      </c>
      <c r="S29" s="105">
        <v>450</v>
      </c>
      <c r="T29" s="105">
        <v>200</v>
      </c>
      <c r="U29" s="105">
        <v>130</v>
      </c>
      <c r="V29" s="105"/>
      <c r="W29" s="105"/>
      <c r="X29" s="105">
        <v>3000</v>
      </c>
      <c r="Y29" s="105">
        <v>1600</v>
      </c>
      <c r="Z29" s="105">
        <v>250</v>
      </c>
      <c r="AA29" s="105">
        <v>2000</v>
      </c>
      <c r="AB29" s="105">
        <v>726.93</v>
      </c>
      <c r="AC29" s="105">
        <v>25</v>
      </c>
      <c r="AD29" s="105">
        <v>500</v>
      </c>
      <c r="AE29" s="105"/>
      <c r="AF29" s="105" t="s">
        <v>213</v>
      </c>
      <c r="AG29" s="105">
        <v>0</v>
      </c>
      <c r="AH29" s="105">
        <v>1500</v>
      </c>
      <c r="AI29" s="105">
        <v>2500</v>
      </c>
      <c r="AJ29" s="105"/>
      <c r="AK29" s="105">
        <v>500</v>
      </c>
    </row>
    <row r="30" spans="2:37" s="94" customFormat="1" x14ac:dyDescent="0.25">
      <c r="B30" s="104" t="s">
        <v>214</v>
      </c>
      <c r="C30" s="105">
        <v>400</v>
      </c>
      <c r="D30" s="105">
        <v>100</v>
      </c>
      <c r="E30" s="105">
        <v>0</v>
      </c>
      <c r="F30" s="105">
        <v>200</v>
      </c>
      <c r="G30" s="105">
        <v>100</v>
      </c>
      <c r="H30" s="105">
        <v>100</v>
      </c>
      <c r="I30" s="105" t="s">
        <v>181</v>
      </c>
      <c r="J30" s="105"/>
      <c r="K30" s="105">
        <v>100</v>
      </c>
      <c r="L30" s="105" t="s">
        <v>181</v>
      </c>
      <c r="M30" s="105"/>
      <c r="N30" s="105"/>
      <c r="O30" s="105"/>
      <c r="P30" s="105">
        <v>200</v>
      </c>
      <c r="Q30" s="105">
        <v>200</v>
      </c>
      <c r="R30" s="105"/>
      <c r="S30" s="105">
        <v>0</v>
      </c>
      <c r="T30" s="105">
        <v>500</v>
      </c>
      <c r="U30" s="105"/>
      <c r="V30" s="105"/>
      <c r="W30" s="105"/>
      <c r="X30" s="105"/>
      <c r="Y30" s="105">
        <v>0</v>
      </c>
      <c r="Z30" s="105">
        <v>500</v>
      </c>
      <c r="AA30" s="105">
        <v>500</v>
      </c>
      <c r="AB30" s="105"/>
      <c r="AC30" s="105"/>
      <c r="AD30" s="105">
        <v>100</v>
      </c>
      <c r="AE30" s="105"/>
      <c r="AF30" s="105">
        <v>0</v>
      </c>
      <c r="AG30" s="105">
        <v>0</v>
      </c>
      <c r="AH30" s="105">
        <v>1000</v>
      </c>
      <c r="AI30" s="105">
        <v>1500</v>
      </c>
      <c r="AJ30" s="105">
        <v>300</v>
      </c>
      <c r="AK30" s="105">
        <v>0</v>
      </c>
    </row>
    <row r="31" spans="2:37" ht="30" x14ac:dyDescent="0.25">
      <c r="B31" s="97" t="s">
        <v>215</v>
      </c>
      <c r="C31" s="99" t="s">
        <v>216</v>
      </c>
      <c r="D31" s="98">
        <v>30</v>
      </c>
      <c r="E31" s="90" t="s">
        <v>217</v>
      </c>
      <c r="F31" s="90">
        <v>30</v>
      </c>
      <c r="G31" s="96" t="s">
        <v>175</v>
      </c>
      <c r="H31" s="98">
        <v>60</v>
      </c>
      <c r="I31" s="98">
        <v>120</v>
      </c>
      <c r="J31" s="98">
        <v>60</v>
      </c>
      <c r="K31" s="90"/>
      <c r="L31" s="90">
        <v>30</v>
      </c>
      <c r="M31" s="90">
        <v>120</v>
      </c>
      <c r="N31" s="90">
        <v>60</v>
      </c>
      <c r="O31" s="90">
        <v>240</v>
      </c>
      <c r="P31" s="90">
        <v>90</v>
      </c>
      <c r="Q31" s="90">
        <v>30</v>
      </c>
      <c r="R31" s="90">
        <v>200</v>
      </c>
      <c r="S31" s="90">
        <v>10</v>
      </c>
      <c r="T31" s="96" t="s">
        <v>218</v>
      </c>
      <c r="U31" s="90" t="s">
        <v>206</v>
      </c>
      <c r="V31" s="90">
        <v>600</v>
      </c>
      <c r="W31" s="90">
        <v>180</v>
      </c>
      <c r="X31" s="90">
        <v>240</v>
      </c>
      <c r="Y31" s="90"/>
      <c r="Z31" s="98">
        <v>180</v>
      </c>
      <c r="AA31" s="98">
        <v>240</v>
      </c>
      <c r="AB31" s="98">
        <v>480</v>
      </c>
      <c r="AC31" s="98">
        <v>45</v>
      </c>
      <c r="AD31" s="98">
        <v>10</v>
      </c>
      <c r="AE31" s="98">
        <v>60</v>
      </c>
      <c r="AF31" s="98">
        <v>20</v>
      </c>
      <c r="AG31" s="98">
        <v>60</v>
      </c>
      <c r="AH31" s="96" t="s">
        <v>219</v>
      </c>
      <c r="AI31" s="98">
        <v>150</v>
      </c>
      <c r="AJ31" s="98">
        <v>34</v>
      </c>
      <c r="AK31" s="98">
        <v>120</v>
      </c>
    </row>
    <row r="32" spans="2:37" ht="30" x14ac:dyDescent="0.25">
      <c r="B32" s="97" t="s">
        <v>220</v>
      </c>
      <c r="C32" s="98" t="s">
        <v>221</v>
      </c>
      <c r="D32" s="90" t="s">
        <v>181</v>
      </c>
      <c r="E32" s="98">
        <v>2</v>
      </c>
      <c r="F32" s="90">
        <v>2</v>
      </c>
      <c r="G32" s="90">
        <v>3</v>
      </c>
      <c r="H32" s="98">
        <v>2</v>
      </c>
      <c r="I32" s="98" t="s">
        <v>181</v>
      </c>
      <c r="J32" s="90"/>
      <c r="K32" s="98">
        <v>2</v>
      </c>
      <c r="L32" s="98">
        <v>1</v>
      </c>
      <c r="M32" s="98">
        <v>12</v>
      </c>
      <c r="N32" s="98">
        <v>2</v>
      </c>
      <c r="O32" s="99" t="s">
        <v>200</v>
      </c>
      <c r="P32" s="98" t="s">
        <v>159</v>
      </c>
      <c r="Q32" s="98">
        <v>5</v>
      </c>
      <c r="R32" s="98">
        <v>15</v>
      </c>
      <c r="S32" s="98">
        <v>8</v>
      </c>
      <c r="T32" s="98">
        <v>6</v>
      </c>
      <c r="U32" s="98">
        <v>2</v>
      </c>
      <c r="V32" s="90"/>
      <c r="W32" s="90"/>
      <c r="X32" s="90">
        <v>25</v>
      </c>
      <c r="Y32" s="90">
        <v>10</v>
      </c>
      <c r="Z32" s="98">
        <v>50</v>
      </c>
      <c r="AA32" s="98">
        <v>12</v>
      </c>
      <c r="AB32" s="98">
        <v>0</v>
      </c>
      <c r="AC32" s="98">
        <v>0</v>
      </c>
      <c r="AD32" s="98">
        <v>4</v>
      </c>
      <c r="AE32" s="98">
        <v>0</v>
      </c>
      <c r="AF32" s="90"/>
      <c r="AG32" s="90"/>
      <c r="AH32" s="90">
        <v>10</v>
      </c>
      <c r="AI32" s="98">
        <v>25</v>
      </c>
      <c r="AJ32" s="98">
        <v>300</v>
      </c>
      <c r="AK32" s="90"/>
    </row>
    <row r="33" spans="2:37" x14ac:dyDescent="0.25">
      <c r="B33" s="97"/>
      <c r="C33" s="98"/>
      <c r="D33" s="90"/>
      <c r="E33" s="98"/>
      <c r="F33" s="90"/>
      <c r="G33" s="90"/>
      <c r="H33" s="98"/>
      <c r="I33" s="98"/>
      <c r="J33" s="90"/>
      <c r="K33" s="98"/>
      <c r="L33" s="98"/>
      <c r="M33" s="98"/>
      <c r="N33" s="98"/>
      <c r="O33" s="99"/>
      <c r="P33" s="98"/>
      <c r="Q33" s="98"/>
      <c r="R33" s="98"/>
      <c r="S33" s="98"/>
      <c r="T33" s="98"/>
      <c r="U33" s="98"/>
      <c r="V33" s="90"/>
      <c r="W33" s="90"/>
      <c r="X33" s="90"/>
      <c r="Y33" s="90"/>
      <c r="Z33" s="98"/>
      <c r="AA33" s="98"/>
      <c r="AB33" s="98"/>
      <c r="AC33" s="98"/>
      <c r="AD33" s="98"/>
      <c r="AE33" s="98"/>
      <c r="AF33" s="90"/>
      <c r="AG33" s="90"/>
      <c r="AH33" s="90"/>
      <c r="AI33" s="98"/>
      <c r="AJ33" s="98"/>
      <c r="AK33" s="90"/>
    </row>
    <row r="34" spans="2:37" x14ac:dyDescent="0.25">
      <c r="B34" s="95" t="s">
        <v>222</v>
      </c>
      <c r="C34" s="96">
        <v>25</v>
      </c>
      <c r="D34" s="96" t="s">
        <v>181</v>
      </c>
      <c r="E34" s="96" t="s">
        <v>175</v>
      </c>
      <c r="F34" s="96" t="s">
        <v>181</v>
      </c>
      <c r="G34" s="96">
        <v>13</v>
      </c>
      <c r="H34" s="96">
        <v>8.5</v>
      </c>
      <c r="I34" s="96">
        <v>15</v>
      </c>
      <c r="J34" s="96"/>
      <c r="K34" s="96">
        <v>15</v>
      </c>
      <c r="L34" s="96" t="s">
        <v>159</v>
      </c>
      <c r="M34" s="96"/>
      <c r="N34" s="96"/>
      <c r="O34" s="96">
        <v>14</v>
      </c>
      <c r="P34" s="96">
        <v>14</v>
      </c>
      <c r="Q34" s="96">
        <v>10</v>
      </c>
      <c r="R34" s="96">
        <v>10</v>
      </c>
      <c r="S34" s="96">
        <v>15</v>
      </c>
      <c r="T34" s="96">
        <v>18</v>
      </c>
      <c r="U34" s="96" t="s">
        <v>203</v>
      </c>
      <c r="V34" s="96"/>
      <c r="W34" s="96">
        <v>11</v>
      </c>
      <c r="X34" s="96">
        <v>20</v>
      </c>
      <c r="Y34" s="96"/>
      <c r="Z34" s="96">
        <v>25</v>
      </c>
      <c r="AA34" s="96">
        <v>12</v>
      </c>
      <c r="AB34" s="96">
        <v>15.8</v>
      </c>
      <c r="AC34" s="96">
        <v>25</v>
      </c>
      <c r="AD34" s="96">
        <v>15</v>
      </c>
      <c r="AE34" s="96">
        <v>15</v>
      </c>
      <c r="AF34" s="96">
        <v>15</v>
      </c>
      <c r="AG34" s="96"/>
      <c r="AH34" s="96"/>
      <c r="AI34" s="96">
        <v>25</v>
      </c>
      <c r="AJ34" s="96">
        <v>13</v>
      </c>
      <c r="AK34" s="96">
        <v>12</v>
      </c>
    </row>
    <row r="35" spans="2:37" x14ac:dyDescent="0.25">
      <c r="B35" s="95"/>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row>
    <row r="36" spans="2:37" x14ac:dyDescent="0.25">
      <c r="B36" s="100" t="s">
        <v>223</v>
      </c>
      <c r="C36" s="101">
        <v>0.02</v>
      </c>
      <c r="D36" s="101">
        <v>0</v>
      </c>
      <c r="E36" s="101" t="s">
        <v>224</v>
      </c>
      <c r="F36" s="101">
        <v>0.01</v>
      </c>
      <c r="G36" s="101">
        <v>0.03</v>
      </c>
      <c r="H36" s="101">
        <v>0.01</v>
      </c>
      <c r="I36" s="101">
        <v>0.03</v>
      </c>
      <c r="J36" s="101">
        <v>0.05</v>
      </c>
      <c r="K36" s="101">
        <v>0.05</v>
      </c>
      <c r="L36" s="101">
        <v>0.05</v>
      </c>
      <c r="M36" s="101">
        <v>0.02</v>
      </c>
      <c r="N36" s="101"/>
      <c r="O36" s="101">
        <v>5.8700000000000002E-2</v>
      </c>
      <c r="P36" s="101">
        <v>0.03</v>
      </c>
      <c r="Q36" s="101">
        <v>0.01</v>
      </c>
      <c r="R36" s="101">
        <v>3.2000000000000001E-2</v>
      </c>
      <c r="S36" s="101">
        <v>0.01</v>
      </c>
      <c r="T36" s="101"/>
      <c r="U36" s="101">
        <v>0.06</v>
      </c>
      <c r="V36" s="101">
        <v>7.0000000000000007E-2</v>
      </c>
      <c r="W36" s="101">
        <v>0.01</v>
      </c>
      <c r="X36" s="101">
        <v>0.05</v>
      </c>
      <c r="Y36" s="101">
        <v>0.05</v>
      </c>
      <c r="Z36" s="101">
        <v>0.02</v>
      </c>
      <c r="AA36" s="101">
        <v>0.02</v>
      </c>
      <c r="AB36" s="101"/>
      <c r="AC36" s="101">
        <v>0.04</v>
      </c>
      <c r="AD36" s="101">
        <v>5.0000000000000001E-3</v>
      </c>
      <c r="AE36" s="101">
        <v>0.02</v>
      </c>
      <c r="AF36" s="101">
        <v>7.0000000000000007E-2</v>
      </c>
      <c r="AG36" s="101">
        <v>0.02</v>
      </c>
      <c r="AH36" s="101">
        <v>0.03</v>
      </c>
      <c r="AI36" s="101">
        <v>0.02</v>
      </c>
      <c r="AJ36" s="101">
        <v>0.02</v>
      </c>
      <c r="AK36" s="101">
        <v>0.01</v>
      </c>
    </row>
    <row r="37" spans="2:37" s="94" customFormat="1" x14ac:dyDescent="0.25">
      <c r="B37" s="92" t="s">
        <v>225</v>
      </c>
      <c r="C37" s="93">
        <v>200</v>
      </c>
      <c r="D37" s="93"/>
      <c r="E37" s="93">
        <v>250</v>
      </c>
      <c r="F37" s="93">
        <v>275</v>
      </c>
      <c r="G37" s="93">
        <v>150</v>
      </c>
      <c r="H37" s="93">
        <v>150</v>
      </c>
      <c r="I37" s="93">
        <v>250</v>
      </c>
      <c r="J37" s="93">
        <v>100</v>
      </c>
      <c r="K37" s="93">
        <v>120</v>
      </c>
      <c r="L37" s="93">
        <v>150</v>
      </c>
      <c r="M37" s="93">
        <v>200</v>
      </c>
      <c r="N37" s="93">
        <v>150</v>
      </c>
      <c r="O37" s="93">
        <v>200</v>
      </c>
      <c r="P37" s="93">
        <v>80</v>
      </c>
      <c r="Q37" s="93">
        <v>100</v>
      </c>
      <c r="R37" s="93">
        <v>150</v>
      </c>
      <c r="S37" s="93">
        <v>300</v>
      </c>
      <c r="T37" s="93"/>
      <c r="U37" s="93">
        <v>150</v>
      </c>
      <c r="V37" s="93"/>
      <c r="W37" s="93">
        <v>300</v>
      </c>
      <c r="X37" s="93">
        <v>300</v>
      </c>
      <c r="Y37" s="93"/>
      <c r="Z37" s="93">
        <v>130</v>
      </c>
      <c r="AA37" s="93">
        <v>100</v>
      </c>
      <c r="AB37" s="93">
        <v>100</v>
      </c>
      <c r="AC37" s="93">
        <v>150</v>
      </c>
      <c r="AD37" s="93">
        <v>300</v>
      </c>
      <c r="AE37" s="93">
        <v>100</v>
      </c>
      <c r="AF37" s="93">
        <v>100</v>
      </c>
      <c r="AG37" s="93">
        <v>100</v>
      </c>
      <c r="AH37" s="93">
        <v>150</v>
      </c>
      <c r="AI37" s="93">
        <v>200</v>
      </c>
      <c r="AJ37" s="93">
        <v>200</v>
      </c>
      <c r="AK37" s="93"/>
    </row>
    <row r="38" spans="2:37" s="94" customFormat="1" x14ac:dyDescent="0.25">
      <c r="B38" s="92" t="s">
        <v>226</v>
      </c>
      <c r="C38" s="93">
        <v>400</v>
      </c>
      <c r="D38" s="93"/>
      <c r="E38" s="93">
        <v>500</v>
      </c>
      <c r="F38" s="93">
        <v>500</v>
      </c>
      <c r="G38" s="93">
        <v>400</v>
      </c>
      <c r="H38" s="93">
        <v>300</v>
      </c>
      <c r="I38" s="93">
        <v>350</v>
      </c>
      <c r="J38" s="93">
        <v>300</v>
      </c>
      <c r="K38" s="93">
        <v>300</v>
      </c>
      <c r="L38" s="93">
        <v>400</v>
      </c>
      <c r="M38" s="93">
        <v>400</v>
      </c>
      <c r="N38" s="93">
        <v>300</v>
      </c>
      <c r="O38" s="93">
        <v>350</v>
      </c>
      <c r="P38" s="93">
        <v>350</v>
      </c>
      <c r="Q38" s="93">
        <v>225</v>
      </c>
      <c r="R38" s="93">
        <v>325</v>
      </c>
      <c r="S38" s="93">
        <v>500</v>
      </c>
      <c r="T38" s="93"/>
      <c r="U38" s="93">
        <v>350</v>
      </c>
      <c r="V38" s="93"/>
      <c r="W38" s="93">
        <v>500</v>
      </c>
      <c r="X38" s="93">
        <v>400</v>
      </c>
      <c r="Y38" s="93"/>
      <c r="Z38" s="93">
        <v>250</v>
      </c>
      <c r="AA38" s="93">
        <v>300</v>
      </c>
      <c r="AB38" s="93">
        <v>270</v>
      </c>
      <c r="AC38" s="93">
        <v>320</v>
      </c>
      <c r="AD38" s="93">
        <v>500</v>
      </c>
      <c r="AE38" s="93">
        <v>300</v>
      </c>
      <c r="AF38" s="93">
        <v>250</v>
      </c>
      <c r="AG38" s="93">
        <v>250</v>
      </c>
      <c r="AH38" s="93">
        <v>350</v>
      </c>
      <c r="AI38" s="93">
        <v>450</v>
      </c>
      <c r="AJ38" s="93">
        <v>350</v>
      </c>
      <c r="AK38" s="93"/>
    </row>
    <row r="39" spans="2:37" x14ac:dyDescent="0.25">
      <c r="B39" s="95"/>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row>
    <row r="40" spans="2:37" x14ac:dyDescent="0.25">
      <c r="B40" s="95" t="s">
        <v>227</v>
      </c>
      <c r="C40" s="96">
        <v>4</v>
      </c>
      <c r="D40" s="96"/>
      <c r="E40" s="96">
        <v>2.5499999999999998</v>
      </c>
      <c r="F40" s="96" t="s">
        <v>159</v>
      </c>
      <c r="G40" s="96" t="s">
        <v>159</v>
      </c>
      <c r="H40" s="96" t="s">
        <v>159</v>
      </c>
      <c r="I40" s="96"/>
      <c r="J40" s="96" t="s">
        <v>159</v>
      </c>
      <c r="K40" s="96" t="s">
        <v>159</v>
      </c>
      <c r="L40" s="96" t="s">
        <v>159</v>
      </c>
      <c r="M40" s="96"/>
      <c r="N40" s="96"/>
      <c r="O40" s="96"/>
      <c r="P40" s="96" t="s">
        <v>159</v>
      </c>
      <c r="Q40" s="96"/>
      <c r="R40" s="96" t="s">
        <v>159</v>
      </c>
      <c r="S40" s="96">
        <v>3.3</v>
      </c>
      <c r="T40" s="96"/>
      <c r="U40" s="96" t="s">
        <v>159</v>
      </c>
      <c r="V40" s="96"/>
      <c r="W40" s="96"/>
      <c r="X40" s="96" t="s">
        <v>159</v>
      </c>
      <c r="Y40" s="96" t="s">
        <v>159</v>
      </c>
      <c r="Z40" s="96" t="s">
        <v>159</v>
      </c>
      <c r="AA40" s="96" t="s">
        <v>159</v>
      </c>
      <c r="AB40" s="96"/>
      <c r="AC40" s="96" t="s">
        <v>159</v>
      </c>
      <c r="AD40" s="96">
        <v>10</v>
      </c>
      <c r="AE40" s="96"/>
      <c r="AF40" s="96">
        <v>3</v>
      </c>
      <c r="AG40" s="96"/>
      <c r="AH40" s="96"/>
      <c r="AI40" s="96" t="s">
        <v>159</v>
      </c>
      <c r="AJ40" s="96" t="s">
        <v>159</v>
      </c>
      <c r="AK40" s="96"/>
    </row>
    <row r="41" spans="2:37" ht="45" x14ac:dyDescent="0.25">
      <c r="B41" s="95" t="s">
        <v>228</v>
      </c>
      <c r="C41" s="96">
        <v>10</v>
      </c>
      <c r="D41" s="96"/>
      <c r="E41" s="96">
        <v>4.5</v>
      </c>
      <c r="F41" s="96">
        <v>12</v>
      </c>
      <c r="G41" s="96" t="s">
        <v>159</v>
      </c>
      <c r="H41" s="96" t="s">
        <v>181</v>
      </c>
      <c r="I41" s="96"/>
      <c r="J41" s="96" t="s">
        <v>159</v>
      </c>
      <c r="K41" s="96" t="s">
        <v>159</v>
      </c>
      <c r="L41" s="96"/>
      <c r="M41" s="96"/>
      <c r="N41" s="96"/>
      <c r="O41" s="96"/>
      <c r="P41" s="96">
        <v>15</v>
      </c>
      <c r="Q41" s="96"/>
      <c r="R41" s="96" t="s">
        <v>159</v>
      </c>
      <c r="S41" s="96">
        <v>26</v>
      </c>
      <c r="T41" s="96"/>
      <c r="U41" s="96">
        <v>12</v>
      </c>
      <c r="V41" s="96"/>
      <c r="W41" s="96"/>
      <c r="X41" s="96">
        <v>10</v>
      </c>
      <c r="Y41" s="96" t="s">
        <v>159</v>
      </c>
      <c r="Z41" s="96" t="s">
        <v>159</v>
      </c>
      <c r="AA41" s="96" t="s">
        <v>159</v>
      </c>
      <c r="AB41" s="96"/>
      <c r="AC41" s="96" t="s">
        <v>159</v>
      </c>
      <c r="AD41" s="96">
        <v>10</v>
      </c>
      <c r="AE41" s="96"/>
      <c r="AF41" s="96">
        <v>10</v>
      </c>
      <c r="AG41" s="96"/>
      <c r="AH41" s="96"/>
      <c r="AI41" s="96" t="s">
        <v>181</v>
      </c>
      <c r="AJ41" s="96" t="s">
        <v>159</v>
      </c>
      <c r="AK41" s="96"/>
    </row>
    <row r="42" spans="2:37" ht="45" x14ac:dyDescent="0.25">
      <c r="B42" s="95" t="s">
        <v>229</v>
      </c>
      <c r="C42" s="96">
        <v>2</v>
      </c>
      <c r="D42" s="96"/>
      <c r="E42" s="96">
        <v>12</v>
      </c>
      <c r="F42" s="96" t="s">
        <v>159</v>
      </c>
      <c r="G42" s="96"/>
      <c r="H42" s="96" t="s">
        <v>159</v>
      </c>
      <c r="I42" s="96"/>
      <c r="J42" s="96" t="s">
        <v>159</v>
      </c>
      <c r="K42" s="96" t="s">
        <v>159</v>
      </c>
      <c r="L42" s="96"/>
      <c r="M42" s="96"/>
      <c r="N42" s="96"/>
      <c r="O42" s="96"/>
      <c r="P42" s="96">
        <v>3</v>
      </c>
      <c r="Q42" s="96"/>
      <c r="R42" s="96" t="s">
        <v>159</v>
      </c>
      <c r="S42" s="96"/>
      <c r="T42" s="96"/>
      <c r="U42" s="96">
        <v>1</v>
      </c>
      <c r="V42" s="96"/>
      <c r="W42" s="96"/>
      <c r="X42" s="96"/>
      <c r="Y42" s="96" t="s">
        <v>159</v>
      </c>
      <c r="Z42" s="96" t="s">
        <v>159</v>
      </c>
      <c r="AA42" s="96" t="s">
        <v>159</v>
      </c>
      <c r="AB42" s="96" t="s">
        <v>159</v>
      </c>
      <c r="AC42" s="96"/>
      <c r="AD42" s="96">
        <v>3</v>
      </c>
      <c r="AE42" s="96"/>
      <c r="AF42" s="96">
        <v>5</v>
      </c>
      <c r="AG42" s="96"/>
      <c r="AH42" s="96"/>
      <c r="AI42" s="96" t="s">
        <v>159</v>
      </c>
      <c r="AJ42" s="96" t="s">
        <v>159</v>
      </c>
      <c r="AK42" s="96"/>
    </row>
    <row r="43" spans="2:37" x14ac:dyDescent="0.25">
      <c r="B43" s="95" t="s">
        <v>230</v>
      </c>
      <c r="C43" s="96">
        <v>1000</v>
      </c>
      <c r="D43" s="96"/>
      <c r="E43" s="96">
        <v>0</v>
      </c>
      <c r="F43" s="96" t="s">
        <v>159</v>
      </c>
      <c r="G43" s="96" t="s">
        <v>181</v>
      </c>
      <c r="H43" s="96" t="s">
        <v>181</v>
      </c>
      <c r="I43" s="96"/>
      <c r="J43" s="96"/>
      <c r="K43" s="96"/>
      <c r="L43" s="96"/>
      <c r="M43" s="96"/>
      <c r="N43" s="96"/>
      <c r="O43" s="96"/>
      <c r="P43" s="96"/>
      <c r="Q43" s="96"/>
      <c r="R43" s="96" t="s">
        <v>181</v>
      </c>
      <c r="S43" s="96"/>
      <c r="T43" s="96"/>
      <c r="U43" s="96"/>
      <c r="V43" s="96"/>
      <c r="W43" s="96"/>
      <c r="X43" s="96"/>
      <c r="Y43" s="96" t="s">
        <v>181</v>
      </c>
      <c r="Z43" s="96" t="s">
        <v>159</v>
      </c>
      <c r="AA43" s="96" t="s">
        <v>159</v>
      </c>
      <c r="AB43" s="96"/>
      <c r="AC43" s="96"/>
      <c r="AD43" s="96" t="s">
        <v>181</v>
      </c>
      <c r="AE43" s="96"/>
      <c r="AF43" s="96">
        <v>0</v>
      </c>
      <c r="AG43" s="96"/>
      <c r="AH43" s="96"/>
      <c r="AI43" s="96" t="s">
        <v>181</v>
      </c>
      <c r="AJ43" s="96">
        <v>1368</v>
      </c>
      <c r="AK43" s="96"/>
    </row>
    <row r="44" spans="2:37" x14ac:dyDescent="0.25">
      <c r="B44" s="95" t="s">
        <v>231</v>
      </c>
      <c r="C44" s="96">
        <v>5000</v>
      </c>
      <c r="D44" s="96"/>
      <c r="E44" s="96" t="s">
        <v>159</v>
      </c>
      <c r="F44" s="96" t="s">
        <v>159</v>
      </c>
      <c r="G44" s="96">
        <v>1200</v>
      </c>
      <c r="H44" s="96" t="s">
        <v>159</v>
      </c>
      <c r="I44" s="96"/>
      <c r="J44" s="96"/>
      <c r="K44" s="96"/>
      <c r="L44" s="96"/>
      <c r="M44" s="96"/>
      <c r="N44" s="96"/>
      <c r="O44" s="96"/>
      <c r="P44" s="96" t="s">
        <v>159</v>
      </c>
      <c r="Q44" s="96"/>
      <c r="R44" s="96">
        <v>3000</v>
      </c>
      <c r="S44" s="96"/>
      <c r="T44" s="96"/>
      <c r="U44" s="96"/>
      <c r="V44" s="96"/>
      <c r="W44" s="96"/>
      <c r="X44" s="96"/>
      <c r="Y44" s="96" t="s">
        <v>181</v>
      </c>
      <c r="Z44" s="96" t="s">
        <v>159</v>
      </c>
      <c r="AA44" s="96" t="s">
        <v>159</v>
      </c>
      <c r="AB44" s="96"/>
      <c r="AC44" s="96"/>
      <c r="AD44" s="96" t="s">
        <v>159</v>
      </c>
      <c r="AE44" s="96"/>
      <c r="AF44" s="96">
        <v>2000</v>
      </c>
      <c r="AG44" s="96"/>
      <c r="AH44" s="96"/>
      <c r="AI44" s="96"/>
      <c r="AJ44" s="96">
        <v>10776</v>
      </c>
      <c r="AK44" s="96"/>
    </row>
    <row r="45" spans="2:37" ht="45" x14ac:dyDescent="0.25">
      <c r="B45" s="95" t="s">
        <v>232</v>
      </c>
      <c r="C45" s="96">
        <v>0.5</v>
      </c>
      <c r="D45" s="96"/>
      <c r="E45" s="96">
        <v>0.17</v>
      </c>
      <c r="F45" s="96" t="s">
        <v>159</v>
      </c>
      <c r="G45" s="96" t="s">
        <v>159</v>
      </c>
      <c r="H45" s="96" t="s">
        <v>159</v>
      </c>
      <c r="I45" s="96"/>
      <c r="J45" s="96" t="s">
        <v>159</v>
      </c>
      <c r="K45" s="96" t="s">
        <v>159</v>
      </c>
      <c r="L45" s="96" t="s">
        <v>159</v>
      </c>
      <c r="M45" s="96"/>
      <c r="N45" s="96"/>
      <c r="O45" s="96"/>
      <c r="P45" s="96" t="s">
        <v>159</v>
      </c>
      <c r="Q45" s="96"/>
      <c r="R45" s="96" t="s">
        <v>159</v>
      </c>
      <c r="S45" s="96">
        <v>0.25</v>
      </c>
      <c r="T45" s="96"/>
      <c r="U45" s="96" t="s">
        <v>159</v>
      </c>
      <c r="V45" s="96"/>
      <c r="W45" s="96"/>
      <c r="X45" s="96" t="s">
        <v>159</v>
      </c>
      <c r="Y45" s="96"/>
      <c r="Z45" s="96" t="s">
        <v>159</v>
      </c>
      <c r="AA45" s="96" t="s">
        <v>159</v>
      </c>
      <c r="AB45" s="96"/>
      <c r="AC45" s="96" t="s">
        <v>159</v>
      </c>
      <c r="AD45" s="96" t="s">
        <v>159</v>
      </c>
      <c r="AE45" s="96"/>
      <c r="AF45" s="96" t="s">
        <v>159</v>
      </c>
      <c r="AG45" s="96"/>
      <c r="AH45" s="96"/>
      <c r="AI45" s="96" t="s">
        <v>159</v>
      </c>
      <c r="AJ45" s="96" t="s">
        <v>159</v>
      </c>
      <c r="AK45" s="96"/>
    </row>
    <row r="46" spans="2:37" x14ac:dyDescent="0.25">
      <c r="B46" s="95" t="s">
        <v>233</v>
      </c>
      <c r="C46" s="96">
        <v>2000</v>
      </c>
      <c r="D46" s="96"/>
      <c r="E46" s="96">
        <v>2733</v>
      </c>
      <c r="F46" s="96">
        <v>14400</v>
      </c>
      <c r="G46" s="96" t="s">
        <v>181</v>
      </c>
      <c r="H46" s="93">
        <v>10560</v>
      </c>
      <c r="I46" s="96"/>
      <c r="J46" s="96"/>
      <c r="K46" s="96"/>
      <c r="L46" s="96"/>
      <c r="M46" s="96"/>
      <c r="N46" s="96"/>
      <c r="O46" s="96"/>
      <c r="P46" s="96" t="s">
        <v>159</v>
      </c>
      <c r="Q46" s="96"/>
      <c r="R46" s="96" t="s">
        <v>181</v>
      </c>
      <c r="S46" s="96"/>
      <c r="T46" s="96"/>
      <c r="U46" s="96"/>
      <c r="V46" s="96"/>
      <c r="W46" s="96"/>
      <c r="X46" s="96"/>
      <c r="Y46" s="96" t="s">
        <v>181</v>
      </c>
      <c r="Z46" s="96" t="s">
        <v>159</v>
      </c>
      <c r="AA46" s="96" t="s">
        <v>159</v>
      </c>
      <c r="AB46" s="96"/>
      <c r="AC46" s="96"/>
      <c r="AD46" s="96">
        <v>0</v>
      </c>
      <c r="AE46" s="96"/>
      <c r="AF46" s="96">
        <v>0</v>
      </c>
      <c r="AG46" s="96"/>
      <c r="AH46" s="96"/>
      <c r="AI46" s="96" t="s">
        <v>159</v>
      </c>
      <c r="AJ46" s="96"/>
      <c r="AK46" s="96"/>
    </row>
    <row r="47" spans="2:37" x14ac:dyDescent="0.25">
      <c r="B47" s="95" t="s">
        <v>234</v>
      </c>
      <c r="C47" s="96">
        <v>1000</v>
      </c>
      <c r="D47" s="96"/>
      <c r="E47" s="96">
        <v>150</v>
      </c>
      <c r="F47" s="96" t="s">
        <v>159</v>
      </c>
      <c r="G47" s="96">
        <v>280</v>
      </c>
      <c r="H47" s="96">
        <v>1200</v>
      </c>
      <c r="I47" s="96"/>
      <c r="J47" s="96"/>
      <c r="K47" s="96"/>
      <c r="L47" s="96"/>
      <c r="M47" s="96"/>
      <c r="N47" s="96"/>
      <c r="O47" s="96"/>
      <c r="P47" s="96" t="s">
        <v>159</v>
      </c>
      <c r="Q47" s="96"/>
      <c r="R47" s="96">
        <v>200</v>
      </c>
      <c r="S47" s="96"/>
      <c r="T47" s="96"/>
      <c r="U47" s="96"/>
      <c r="V47" s="96"/>
      <c r="W47" s="96"/>
      <c r="X47" s="96"/>
      <c r="Y47" s="96" t="s">
        <v>181</v>
      </c>
      <c r="Z47" s="96" t="s">
        <v>159</v>
      </c>
      <c r="AA47" s="96" t="s">
        <v>159</v>
      </c>
      <c r="AB47" s="96"/>
      <c r="AC47" s="96"/>
      <c r="AD47" s="96" t="s">
        <v>159</v>
      </c>
      <c r="AE47" s="96"/>
      <c r="AF47" s="96">
        <v>200</v>
      </c>
      <c r="AG47" s="96"/>
      <c r="AH47" s="96"/>
      <c r="AI47" s="96">
        <v>500</v>
      </c>
      <c r="AJ47" s="96">
        <v>1000</v>
      </c>
      <c r="AK47" s="96"/>
    </row>
    <row r="48" spans="2:37" ht="45" x14ac:dyDescent="0.25">
      <c r="B48" s="95" t="s">
        <v>235</v>
      </c>
      <c r="C48" s="96"/>
      <c r="D48" s="96"/>
      <c r="E48" s="96"/>
      <c r="F48" s="96"/>
      <c r="G48" s="96"/>
      <c r="H48" s="96">
        <v>5</v>
      </c>
      <c r="I48" s="96"/>
      <c r="J48" s="96"/>
      <c r="K48" s="96"/>
      <c r="L48" s="96"/>
      <c r="M48" s="96"/>
      <c r="N48" s="96"/>
      <c r="O48" s="96"/>
      <c r="P48" s="96"/>
      <c r="Q48" s="96"/>
      <c r="R48" s="96"/>
      <c r="S48" s="96"/>
      <c r="T48" s="96"/>
      <c r="U48" s="96" t="s">
        <v>159</v>
      </c>
      <c r="V48" s="96"/>
      <c r="W48" s="96"/>
      <c r="X48" s="96"/>
      <c r="Y48" s="96"/>
      <c r="Z48" s="96" t="s">
        <v>159</v>
      </c>
      <c r="AA48" s="96" t="s">
        <v>159</v>
      </c>
      <c r="AB48" s="96"/>
      <c r="AC48" s="96"/>
      <c r="AD48" s="96"/>
      <c r="AE48" s="96"/>
      <c r="AF48" s="96">
        <v>10</v>
      </c>
      <c r="AG48" s="96"/>
      <c r="AH48" s="96"/>
      <c r="AI48" s="96"/>
      <c r="AJ48" s="96"/>
      <c r="AK48" s="96"/>
    </row>
    <row r="49" spans="2:37" x14ac:dyDescent="0.25">
      <c r="B49" s="95"/>
      <c r="C49" s="96"/>
      <c r="D49" s="96"/>
      <c r="E49" s="96"/>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row>
    <row r="50" spans="2:37" x14ac:dyDescent="0.25">
      <c r="B50" s="95"/>
      <c r="C50" s="96"/>
      <c r="D50" s="96"/>
      <c r="E50" s="96"/>
      <c r="F50" s="96"/>
      <c r="G50" s="96"/>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row>
    <row r="51" spans="2:37" x14ac:dyDescent="0.25">
      <c r="B51" s="95"/>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row>
    <row r="52" spans="2:37" x14ac:dyDescent="0.25">
      <c r="B52" s="95"/>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row>
    <row r="53" spans="2:37" x14ac:dyDescent="0.25">
      <c r="B53" s="95"/>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row>
    <row r="54" spans="2:37" x14ac:dyDescent="0.25">
      <c r="B54" s="95"/>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row>
    <row r="55" spans="2:37" x14ac:dyDescent="0.25">
      <c r="B55" s="95"/>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row>
    <row r="56" spans="2:37" x14ac:dyDescent="0.25">
      <c r="B56" s="95"/>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row>
    <row r="57" spans="2:37" x14ac:dyDescent="0.25">
      <c r="B57" s="95"/>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row>
    <row r="58" spans="2:37" x14ac:dyDescent="0.25">
      <c r="B58" s="95"/>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row>
    <row r="59" spans="2:37" x14ac:dyDescent="0.25">
      <c r="B59" s="95"/>
      <c r="C59" s="96"/>
      <c r="D59" s="96"/>
      <c r="E59" s="96"/>
      <c r="F59" s="96"/>
      <c r="G59" s="96"/>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row>
    <row r="60" spans="2:37" x14ac:dyDescent="0.25">
      <c r="B60" s="95"/>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row>
    <row r="61" spans="2:37" x14ac:dyDescent="0.25">
      <c r="B61" s="95"/>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row>
    <row r="62" spans="2:37" x14ac:dyDescent="0.25">
      <c r="B62" s="95"/>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row>
    <row r="63" spans="2:37" x14ac:dyDescent="0.25">
      <c r="B63" s="95"/>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row>
    <row r="64" spans="2:37" x14ac:dyDescent="0.25">
      <c r="B64" s="95"/>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row>
    <row r="65" spans="2:37" ht="30" x14ac:dyDescent="0.25">
      <c r="B65" s="102" t="s">
        <v>236</v>
      </c>
      <c r="C65" s="103">
        <v>0.1</v>
      </c>
      <c r="D65" s="103"/>
      <c r="E65" s="103">
        <v>0.05</v>
      </c>
      <c r="F65" s="103"/>
      <c r="G65" s="103"/>
      <c r="H65" s="103" t="s">
        <v>159</v>
      </c>
      <c r="I65" s="103"/>
      <c r="J65" s="103"/>
      <c r="K65" s="103"/>
      <c r="L65" s="103" t="s">
        <v>159</v>
      </c>
      <c r="M65" s="103"/>
      <c r="N65" s="103">
        <v>0.04</v>
      </c>
      <c r="O65" s="103" t="s">
        <v>237</v>
      </c>
      <c r="P65" s="96">
        <v>1500</v>
      </c>
      <c r="Q65" s="103"/>
      <c r="R65" s="103">
        <v>0.05</v>
      </c>
      <c r="S65" s="103">
        <v>0.03</v>
      </c>
      <c r="T65" s="103"/>
      <c r="U65" s="103">
        <v>0.05</v>
      </c>
      <c r="V65" s="103"/>
      <c r="W65" s="103">
        <v>0.04</v>
      </c>
      <c r="X65" s="103"/>
      <c r="Y65" s="103"/>
      <c r="Z65" s="103" t="s">
        <v>238</v>
      </c>
      <c r="AA65" s="103">
        <v>0.05</v>
      </c>
      <c r="AB65" s="103">
        <v>0.05</v>
      </c>
      <c r="AC65" s="103" t="s">
        <v>239</v>
      </c>
      <c r="AD65" s="103">
        <v>0.2</v>
      </c>
      <c r="AE65" s="103"/>
      <c r="AF65" s="103" t="s">
        <v>240</v>
      </c>
      <c r="AG65" s="103" t="s">
        <v>239</v>
      </c>
      <c r="AH65" s="103">
        <v>0.05</v>
      </c>
      <c r="AI65" s="103">
        <v>0.06</v>
      </c>
      <c r="AJ65" s="103" t="s">
        <v>241</v>
      </c>
      <c r="AK65" s="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Data_as_is</vt:lpstr>
      <vt:lpstr>Data_avgs_for_missing</vt:lpstr>
      <vt:lpstr>Budget</vt:lpstr>
      <vt:lpstr>Transposed</vt:lpstr>
    </vt:vector>
  </TitlesOfParts>
  <Company>University of Minnesota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F Lazarus</dc:creator>
  <cp:lastModifiedBy>William F Lazarus</cp:lastModifiedBy>
  <cp:lastPrinted>2013-03-12T12:57:12Z</cp:lastPrinted>
  <dcterms:created xsi:type="dcterms:W3CDTF">2012-08-23T15:02:35Z</dcterms:created>
  <dcterms:modified xsi:type="dcterms:W3CDTF">2017-04-12T16:08:41Z</dcterms:modified>
</cp:coreProperties>
</file>